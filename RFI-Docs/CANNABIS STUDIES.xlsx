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KDriveSept2020\Acting Director II\Cannabis\Talking Points\"/>
    </mc:Choice>
  </mc:AlternateContent>
  <xr:revisionPtr revIDLastSave="0" documentId="8_{A2129060-450F-4764-B636-82DC951085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jects" sheetId="2" r:id="rId1"/>
    <sheet name="SPIREs" sheetId="5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</calcChain>
</file>

<file path=xl/sharedStrings.xml><?xml version="1.0" encoding="utf-8"?>
<sst xmlns="http://schemas.openxmlformats.org/spreadsheetml/2006/main" count="821" uniqueCount="263">
  <si>
    <t>Project ID</t>
  </si>
  <si>
    <t>Inv Name</t>
  </si>
  <si>
    <t>Med Center Name</t>
  </si>
  <si>
    <t>Project Title</t>
  </si>
  <si>
    <t>Project Start Date</t>
  </si>
  <si>
    <t>Project End Date</t>
  </si>
  <si>
    <t>Total Awarded</t>
  </si>
  <si>
    <t>HSR4-016-22S</t>
  </si>
  <si>
    <t>Keyhani, Salomeh</t>
  </si>
  <si>
    <t>San Francisco, CA</t>
  </si>
  <si>
    <t>Gaps in Identification, Referral and Treatment of Cannabis Use in VA Primary Care</t>
  </si>
  <si>
    <t>HSR7-007-18W</t>
  </si>
  <si>
    <t>Risks of Cannabis Use Among Veterans on Long-term Opioid Therapy</t>
  </si>
  <si>
    <t>MHBB-001-17F</t>
  </si>
  <si>
    <t>Ayers, Catherine</t>
  </si>
  <si>
    <t>San Diego, CA</t>
  </si>
  <si>
    <t>Cannabidiol as an Adjunctive to Prolonged Exposure for the Treatment of PTSD</t>
  </si>
  <si>
    <t>NURA-001-22F</t>
  </si>
  <si>
    <t>Kalivas, Peter</t>
  </si>
  <si>
    <t>Charleston, SC</t>
  </si>
  <si>
    <t>Neuroadaptation produced by acute PTSD-like stress create vulnerability for cannabis addiction</t>
  </si>
  <si>
    <t>NURA-003-22S</t>
  </si>
  <si>
    <t>Martin, Ashley</t>
  </si>
  <si>
    <t>West Haven, CT</t>
  </si>
  <si>
    <t>A neurobiological investigation of cannabis use and misuse in Veterans</t>
  </si>
  <si>
    <t>NURA-004-21S</t>
  </si>
  <si>
    <t>McRae-Clark, Aimee</t>
  </si>
  <si>
    <t>Varenicline for Comorbid Tobacco and Cannnabis Use in Veterans</t>
  </si>
  <si>
    <t>NURA-008-23S</t>
  </si>
  <si>
    <t>Berey, Benjamin L.</t>
  </si>
  <si>
    <t>Providence, RI</t>
  </si>
  <si>
    <t>Applying Mixed Methods to Identify Links between Cannabis Use and Sleep Behaviors with Ramifications for Veterans Clinical Health Outcomes</t>
  </si>
  <si>
    <t>NURE-002-21F</t>
  </si>
  <si>
    <t>Handforth, C. Adrian</t>
  </si>
  <si>
    <t>West Los Angeles, CA</t>
  </si>
  <si>
    <t>New Therapies for Essential Tremor from Cannabidiols Mechanisms</t>
  </si>
  <si>
    <t>NURP-002-20F</t>
  </si>
  <si>
    <t>D'Souza, Deepak C.</t>
  </si>
  <si>
    <t>Proof of Concept Trial of Cannabis Derivatives in Neuropathic Pain.</t>
  </si>
  <si>
    <r>
      <t>PULM-011-23F</t>
    </r>
    <r>
      <rPr>
        <sz val="11"/>
        <color theme="1"/>
        <rFont val="Calibri"/>
        <family val="2"/>
        <scheme val="minor"/>
      </rPr>
      <t xml:space="preserve"> </t>
    </r>
  </si>
  <si>
    <t>Prasad, Bharati</t>
  </si>
  <si>
    <t>Chicago, IL</t>
  </si>
  <si>
    <t>Targeted Treatment of Obstructive Sleep Apnea with Dronabinol: Proof of Concept and Phase II Clinical Trial</t>
  </si>
  <si>
    <t>RRD4-007-19W</t>
  </si>
  <si>
    <t>Beckham, Jean C.</t>
  </si>
  <si>
    <t>Durham, NC</t>
  </si>
  <si>
    <t>Functional Outcomes of Cannabis Use (FOCUS) in Veterans with Posttraumatic Stress Disorder</t>
  </si>
  <si>
    <t>PMID</t>
  </si>
  <si>
    <t>Publish Date</t>
  </si>
  <si>
    <t>Publication Title</t>
  </si>
  <si>
    <t>Authors</t>
  </si>
  <si>
    <t>Journal Title</t>
  </si>
  <si>
    <t>Impact Factor</t>
  </si>
  <si>
    <t>ProjectCount</t>
  </si>
  <si>
    <t>RCR</t>
  </si>
  <si>
    <t>Citation Count</t>
  </si>
  <si>
    <t>Project_Number</t>
  </si>
  <si>
    <t>PI_Name</t>
  </si>
  <si>
    <t>RAFT ID</t>
  </si>
  <si>
    <t>RAFT Title</t>
  </si>
  <si>
    <t>2014</t>
  </si>
  <si>
    <t>Choice of crystalloid and mortality in sepsis--all in the timing?</t>
  </si>
  <si>
    <t>Jones, Brian L; Smith, Stephen M</t>
  </si>
  <si>
    <t>Crit Care Med</t>
  </si>
  <si>
    <t>BX002547</t>
  </si>
  <si>
    <t>SMITH, STEPHEN M</t>
  </si>
  <si>
    <t>NURB-017-18F</t>
  </si>
  <si>
    <t>Dynamic Chemical Regulation of Voltage-gated Sodium Channels</t>
  </si>
  <si>
    <t>NURA-003-23S</t>
  </si>
  <si>
    <t>Cannabinoid signaling in the neocortex</t>
  </si>
  <si>
    <t>2016</t>
  </si>
  <si>
    <t>Calcium-Sensing Receptor: A Key Target for Extracellular Calcium Signaling in Neurons.</t>
  </si>
  <si>
    <t>Front Physiol</t>
  </si>
  <si>
    <t>2017</t>
  </si>
  <si>
    <t>Distinct Actions of Voltage-Activated Ca2+ Channel Block on Spontaneous Release at Excitatory and Inhibitory Central Synapses.</t>
  </si>
  <si>
    <t>Tsintsadze, Timur; Williams, Courtney L; Weingarten, Dennis J; von Gersdorff, Henrique; Smith, Stephen M</t>
  </si>
  <si>
    <t>J Neurosci</t>
  </si>
  <si>
    <t>Effects of an Inhibitor of Monocyte Recruitment on Recovery from Traumatic Brain Injury in Mice Treated with Granulocyte Colony-Stimulating Factor.</t>
  </si>
  <si>
    <t>Song, Shijie; Kong, Xiaoyuan; Acosta, Sandra; Sava, Vasyl; Borlongan, Cesar V; Sanchez-Ramos, Juan</t>
  </si>
  <si>
    <t>Int J Mol Sci</t>
  </si>
  <si>
    <t>BX004037</t>
  </si>
  <si>
    <t>SONG, SHIJIE</t>
  </si>
  <si>
    <t>NURC-016-17F</t>
  </si>
  <si>
    <t>Interaction of GCSF with the Endocannabinoid System in Promoting Brain Repair</t>
  </si>
  <si>
    <t>2018</t>
  </si>
  <si>
    <t>Calcium dependence of spontaneous neurotransmitter release.</t>
  </si>
  <si>
    <t>Williams, Courtney L; Smith, Stephen M</t>
  </si>
  <si>
    <t>J Neurosci Res</t>
  </si>
  <si>
    <t>Identification of highly potent BTK and JAK3 dual inhibitors with improved activity for the treatment of B-cell lymphoma.</t>
  </si>
  <si>
    <t>Ge, Yang; Wang, Changyuan; Song, Shijie; Huang, Jiaxin; Liu, Zhihao; Li, Yongming; Meng, Qiang; Zhang, Jianbin; Yao, Jihong; Liu, Kexin; Ma, Xiaodong; Sun, Xiuli</t>
  </si>
  <si>
    <t>Eur J Med Chem</t>
  </si>
  <si>
    <t>2019</t>
  </si>
  <si>
    <t>Calcium/calmodulin-stimulated adenylyl cyclases 1 and 8 regulate reward-related brain activity and ethanol consumption.</t>
  </si>
  <si>
    <t>Bosse, Kelly E; Ghoddoussi, Farhad; Eapen, Ajay T; Charlton, Jennifer L; Susick, Laura L; Desai, Kirt; Berkowitz, Bruce A; Perrine, Shane A; Conti, Alana C</t>
  </si>
  <si>
    <t>Brain Imaging Behav</t>
  </si>
  <si>
    <t>RX002252</t>
  </si>
  <si>
    <t>PERRINE, SHANE ALAN</t>
  </si>
  <si>
    <t>RRD1-018-17S</t>
  </si>
  <si>
    <t>Cannabinoids for Posttraumatic Stress Disorder and Alcohol Use</t>
  </si>
  <si>
    <t>Chitosan-Mangafodipir nanoparticles designed for intranasal delivery of siRNA and DNA to brain.</t>
  </si>
  <si>
    <t>Sanchez-Ramos, Juan; Song, Shijie; Kong, Xiaoyuan; Foroutan, Parastou; Martinez, Gary; Dominguez-Viqueria, William; Mohapatra, Shyam; Mohapatra, Subhra; Haraszti, Reka A; Khvorova, Anastasia; Aronin, Neil; Sava, Vasyl</t>
  </si>
  <si>
    <t>J Drug Deliv Sci Technol</t>
  </si>
  <si>
    <t>Strong G-Protein-Mediated Inhibition of Sodium Channels.</t>
  </si>
  <si>
    <t>Mattheisen, Glynis B; Tsintsadze, Timur; Smith, Stephen M</t>
  </si>
  <si>
    <t>Cell Rep</t>
  </si>
  <si>
    <t>Cannabis and cannabinoid drug development: evaluating botanical versus single molecule approaches.</t>
  </si>
  <si>
    <t>Bonn-Miller, Marcel O; ElSohly, Mahmoud A; Loflin, Mallory J E; Chandra, Suman; Vandrey, Ryan</t>
  </si>
  <si>
    <t>Int Rev Psychiatry</t>
  </si>
  <si>
    <t/>
  </si>
  <si>
    <t>CX001769</t>
  </si>
  <si>
    <t>AYERS, CATHERINE</t>
  </si>
  <si>
    <t>Method for Stimulation of Hippocampal Neurogenesis by Transient Microneedle Insertion.</t>
  </si>
  <si>
    <t>Song, Shijie; Kong, Xiaoyung; Sanchez-Ramos, Juan</t>
  </si>
  <si>
    <t>Methods Mol Biol</t>
  </si>
  <si>
    <t>Divergent effects of repeated cocaine and novel environment exposure on locus coeruleus c-fos expression and brain catecholamine concentrations in rats.</t>
  </si>
  <si>
    <t>Lisieski, Michael J; Karavidha, Klevis; Gheidi, Ali; Garibyan, Rafael L; Conti, Alana C; Morrow, Jonathan D; Perrine, Shane A</t>
  </si>
  <si>
    <t>Brain Behav</t>
  </si>
  <si>
    <t>Navigating Blind in the Green Rush: Clinical Considerations and Harm Reduction Practices for Cannabis.</t>
  </si>
  <si>
    <t>Meffert, Brienna N; Morabito, Danielle M; Mosich, Michelle K; Loflin, Mallory J; Sottile, James; Heinz, Adrienne J</t>
  </si>
  <si>
    <t>Curr Drug Res Rev</t>
  </si>
  <si>
    <t>Cognitive Flexibility Training Improves Extinction Retention Memory and Enhances Cortical Dopamine With and Without Traumatic Stress Exposure.</t>
  </si>
  <si>
    <t>Chaby, Lauren E; Karavidha, Klevis; Lisieski, Michael J; Perrine, Shane A; Liberzon, Israel</t>
  </si>
  <si>
    <t>Front Behav Neurosci</t>
  </si>
  <si>
    <t>Single-Prolonged Stress Impairs Prefrontal Cortex Control of Amygdala and Striatum in Rats.</t>
  </si>
  <si>
    <t>Piggott, Veronica M; Bosse, Kelly E; Lisieski, Michael J; Strader, John A; Stanley, Jeffrey A; Conti, Alana C; Ghoddoussi, Farhad; Perrine, Shane A</t>
  </si>
  <si>
    <t>RX002686</t>
  </si>
  <si>
    <t>PIGGOTT, VERONICA</t>
  </si>
  <si>
    <t>RRD8-005-17W</t>
  </si>
  <si>
    <t>Comorbidity of PTSD and Alcohol Dependence: Endocannabinoid Regulation</t>
  </si>
  <si>
    <t>A cross-sectional examination of choice and behavior of veterans with access to free medicinal cannabis.</t>
  </si>
  <si>
    <t>Loflin, Mallory J E; Babson, Kimberly; Sottile, James; Norman, Sonya B; Gruber, Staci; Bonn-Miller, Marcel O</t>
  </si>
  <si>
    <t>Am J Drug Alcohol Abuse</t>
  </si>
  <si>
    <t>2020</t>
  </si>
  <si>
    <t>N-Acetylcysteine treatment during acute stress prevents stress-induced augmentation of addictive drug use and relapse.</t>
  </si>
  <si>
    <t>Garcia-Keller, Constanza; Smiley, Cora; Monforton, Cara; Melton, Samantha; Kalivas, Peter W; Gass, Justin</t>
  </si>
  <si>
    <t>Addict Biol</t>
  </si>
  <si>
    <t>BX004727</t>
  </si>
  <si>
    <t>KALIVAS, PETER W</t>
  </si>
  <si>
    <t>NURA-008-18F</t>
  </si>
  <si>
    <t>Aversiveness and Meaningfulness of Uncomfortable Experiences with Edible Cannabis.</t>
  </si>
  <si>
    <t>Farmer, Stacey; Slavin, Melissa N; Loflin, Mallory J E; Luba, Rachel; Earleywine, Mitch</t>
  </si>
  <si>
    <t>J Psychoactive Drugs</t>
  </si>
  <si>
    <t>The Opioid-Addicted Tetrapartite Synapse.</t>
  </si>
  <si>
    <t>Kruyer, Anna; Chioma, Vivian C; Kalivas, Peter W</t>
  </si>
  <si>
    <t>Biol Psychiatry</t>
  </si>
  <si>
    <t>D-578, an orally active triple monoamine reuptake inhibitor, displays antidepressant and anti-PTSD like effects in rats.</t>
  </si>
  <si>
    <t>Dutta, Aloke K; Santra, Soumava; Harutyunyan, Arman; Das, Banibrata; Lisieski, Michael J; Xu, Liping; Antonio, Tamara; Reith, Maarten E A; Perrine, Shane A</t>
  </si>
  <si>
    <t>Eur J Pharmacol</t>
  </si>
  <si>
    <t>Endocannabinoid System Alterations in Posttraumatic Stress Disorder: A Review of Developmental and Accumulative Effects of Trauma.</t>
  </si>
  <si>
    <t>Bassir Nia, Anahita; Bender, Ricci; Harpaz-Rotem, Ilan</t>
  </si>
  <si>
    <t>Chronic Stress (Thousand Oaks)</t>
  </si>
  <si>
    <t>CX001538</t>
  </si>
  <si>
    <t>HARPAZ-ROTEM, ILAN</t>
  </si>
  <si>
    <t>MHBB-009-18S</t>
  </si>
  <si>
    <t>Fear Reversal Learning in Combat-Related PTSD: A Multi-Model fMRI-PET Approach</t>
  </si>
  <si>
    <t>Editorial: Pre-clinical Models of PTSD.</t>
  </si>
  <si>
    <t>Perrine, Shane A; Liberzon, Israel</t>
  </si>
  <si>
    <t>The loss of NMDAR-dependent LTD following cannabinoid self-administration is restored by positive allosteric modulation of CB1 receptors.</t>
  </si>
  <si>
    <t>Neuhofer, Daniela; Spencer, Sade M; Chioma, Vivian C; Beloate, Lauren N; Schwartz, Danielle; Kalivas, Peter W</t>
  </si>
  <si>
    <t>Understanding Addiction Using Animal Models.</t>
  </si>
  <si>
    <t>Kuhn, Brittany N; Kalivas, Peter W; Bobadilla, Ana-Clara</t>
  </si>
  <si>
    <t>Opposing Regulation of Cocaine Seeking by Glutamate and GABA Neurons in the Ventral Pallidum.</t>
  </si>
  <si>
    <t>Heinsbroek, Jasper A; Bobadilla, Ana-Clara; Dereschewitz, Eric; Assali, Ahlem; Chalhoub, Reda M; Cowan, Christopher W; Kalivas, Peter W</t>
  </si>
  <si>
    <t>N-acetylcysteine for the treatment of comorbid alcohol use disorder and posttraumatic stress disorder: Design and methodology of a randomized clinical trial.</t>
  </si>
  <si>
    <t>Back, Sudie E; Gray, Kevin; Santa Ana, Elizabeth; Jones, Jennifer L; Jarnecke, Amber M; Joseph, Jane E; Prisciandaro, James; Killeen, Therese; Brown, Delisa G; Taimina, Linda; Compean, Ebele; Malcolm, Robert; Flanagan, Julianne C; Kalivas, Peter W</t>
  </si>
  <si>
    <t>Contemp Clin Trials</t>
  </si>
  <si>
    <t>Long-term impact of acute restraint stress on heroin self-administration, reinstatement, and stress reactivity.</t>
  </si>
  <si>
    <t>Carter, Jordan S; Kearns, Angela M; Vollmer, Kelsey M; Garcia-Keller, Constanza; Weber, Rachel A; Baker, Nathaniel L; Kalivas, Peter W; Reichel, Carmela M</t>
  </si>
  <si>
    <t>Psychopharmacology (Berl)</t>
  </si>
  <si>
    <t>Chronic Intermittent Ethanol Exposure Increases Ethanol Consumption Following Traumatic Stress Exposure in Mice.</t>
  </si>
  <si>
    <t>Piggott, Veronica M; Lloyd, Scott C; Perrine, Shane A; Conti, Alana C</t>
  </si>
  <si>
    <t>Non-Opioid Treatments for Opioid Use Disorder: Rationales and Data to Date.</t>
  </si>
  <si>
    <t>Chalhoub, Reda M; Kalivas, Peter W</t>
  </si>
  <si>
    <t>Drugs</t>
  </si>
  <si>
    <t>2021</t>
  </si>
  <si>
    <t>Astrocytes as cellular mediators of cue reactivity in addiction.</t>
  </si>
  <si>
    <t>Kruyer, Anna; Kalivas, Peter W</t>
  </si>
  <si>
    <t>Curr Opin Pharmacol</t>
  </si>
  <si>
    <t>Repeated stress exposure in mid-adolescence attenuates behavioral, noradrenergic, and epigenetic effects of trauma-like stress in early adult male rats.</t>
  </si>
  <si>
    <t>Chaby, Lauren E; Sadik, Nareen; Burson, Nicole A; Lloyd, Scott; O'Donnel, Kelly; Winters, Jesse; Conti, Alana C; Liberzon, Israel; Perrine, Shane A</t>
  </si>
  <si>
    <t>Sci Rep</t>
  </si>
  <si>
    <t>Circuit selectivity in drug versus natural reward seeking behaviors.</t>
  </si>
  <si>
    <t>Nall, Rusty W; Heinsbroek, Jasper A; Nentwig, Todd B; Kalivas, Peter W; Bobadilla, Ana-Clara</t>
  </si>
  <si>
    <t>J Neurochem</t>
  </si>
  <si>
    <t>Large, Stable Spikes Exhibit Differential Broadening in Excitatory and Inhibitory Neocortical Boutons.</t>
  </si>
  <si>
    <t>Ritzau-Jost, Andreas; Tsintsadze, Timur; Krueger, Martin; Ader, Jonas; Bechmann, Ingo; Eilers, Jens; Barbour, Boris; Smith, Stephen M; Hallermann, Stefan</t>
  </si>
  <si>
    <t>Heroin Seeking and Extinction From Seeking Activate Matrix Metalloproteinases at Synapses on Distinct Subpopulations of Accumbens Cells.</t>
  </si>
  <si>
    <t>Chioma, Vivian C; Kruyer, Anna; Bobadilla, Ana-Clara; Angelis, Ariana; Ellison, Zachary; Hodebourg, Ritchy; Scofield, Michael D; Kalivas, Peter W</t>
  </si>
  <si>
    <t>Granulocyte Colony-Stimulating Factor Enhances Brain Repair Following Traumatic Brain Injury Without Requiring Activation of Cannabinoid Receptors.</t>
  </si>
  <si>
    <t>Song, Shijie; Kong, Xiaoyuan; Borlongan, Cesar; Sava, Vasyl; Sanchez-Ramos, Juan</t>
  </si>
  <si>
    <t>Cannabis Cannabinoid Res</t>
  </si>
  <si>
    <t>Traumatic Stress, Chronic Ethanol Exposure, or the Combination, Alter Cannabinoid System Components in Reward and Limbic Regions of the Mouse Brain.</t>
  </si>
  <si>
    <t>Piggott, Veronica M; Lloyd, Scott C; Matchynski, James I; Perrine, Shane A; Conti, Alana C</t>
  </si>
  <si>
    <t>Molecules</t>
  </si>
  <si>
    <t>2022</t>
  </si>
  <si>
    <t>Recovery from Traumatic Brain Injury Following Treatment with Δ9-Tetrahydrocannabinol Is Associated with Increased Expression of Granulocyte-Colony Stimulating Factor and Other Neurotrophic Factors.</t>
  </si>
  <si>
    <t>Song, Shijie; Kong, Xiaoyuan; Wang, Bangmei; Sanchez-Ramos, Juan</t>
  </si>
  <si>
    <t>Heterogeneity in patterns of pain development after nerve injury in rats and the influence of sex.</t>
  </si>
  <si>
    <t>Sherman, Katherine; Woyach, Victoria; Eisenach, James C; Hopp, Francis A; Cao, Freddy; Hogan, Quinn H; Dean, Caron</t>
  </si>
  <si>
    <t>Neurobiol Pain</t>
  </si>
  <si>
    <t>RX002747</t>
  </si>
  <si>
    <t>DEAN-BERNHOFT, CARON</t>
  </si>
  <si>
    <t>RRDA-007-18S</t>
  </si>
  <si>
    <t>Endogenous cannabinoid signaling in the development of chronic neuropathic pain</t>
  </si>
  <si>
    <t>Effects of fentanyl on acute locomotor activity, behavioral sensitization, and contextual reward in female and male rats.</t>
  </si>
  <si>
    <t>Gaulden, Andrew D; Burson, Nicole; Sadik, Nareen; Ghosh, Ishita; Khan, Sabrina J; Brummelte, Susanne; Kallakuri, Srinivasu; Perrine, Shane A</t>
  </si>
  <si>
    <t>Drug Alcohol Depend</t>
  </si>
  <si>
    <t>Extrasynaptic therapeutic targets in substance use and stress disorders.</t>
  </si>
  <si>
    <t>Hodebourg, Ritchy; Kalivas, Peter W; Kruyer, Anna</t>
  </si>
  <si>
    <t>Trends Pharmacol Sci</t>
  </si>
  <si>
    <t>Long-Term Opioid Use Among Veterans with Cirrhosis: High-Dose Prescriptions in an Exceedingly High-Risk Population.</t>
  </si>
  <si>
    <t>Rubin, Jessica B; Lai, Jennifer C; Leonard, Samuel; Seal, Karen; Hoggatt, Katherine J; Keyhani, Salomeh</t>
  </si>
  <si>
    <t>J Gen Intern Med</t>
  </si>
  <si>
    <t>HX002737</t>
  </si>
  <si>
    <t>KEYHANI, SALOMEH</t>
  </si>
  <si>
    <t>Cannabinoid use is enhanced by stress and changes conditioned stress responses.</t>
  </si>
  <si>
    <t>Hodebourg, Ritchy; Meyerink, Michael E; Crow, Ayteria D; Reichel, Carmela M; Kalivas, Peter W; Garcia-Keller, Constanza</t>
  </si>
  <si>
    <t>Neuropsychopharmacology</t>
  </si>
  <si>
    <t>Assessing combined effects of varenicline and N-acetylcysteine on reducing nicotine seeking in rats.</t>
  </si>
  <si>
    <t>Nall, Rusty W; Beloate, Lauren N; Meyerink, Michael E; Penaloza, Tiffany; Doolittle, Jade; Froeliger, Brett; Kalivas, Peter W; Garcia-Keller, Constanza</t>
  </si>
  <si>
    <t>Drug versus non-drug behaviors: A dual-reward model of sex differences and neurobiological mechanisms in rats.</t>
  </si>
  <si>
    <t>Nall, Rusty W; Chalhoub, Reda M; Kalivas, Peter W</t>
  </si>
  <si>
    <t>J Exp Anal Behav</t>
  </si>
  <si>
    <t>2023</t>
  </si>
  <si>
    <t>Astrocyte regulation of synaptic signaling in psychiatric disorders.</t>
  </si>
  <si>
    <t>Kruyer, Anna; Kalivas, Peter W; Scofield, Michael D</t>
  </si>
  <si>
    <t>Balanced Electrolyte Solution or Saline in the Critically Ill.</t>
  </si>
  <si>
    <t>Smith, Stephen M; Rajayer, Salil R</t>
  </si>
  <si>
    <t>N Engl J Med</t>
  </si>
  <si>
    <t>Reduced affinity of calcium sensing-receptor heterodimers and reduced mutant homodimer trafficking combine to impair function in a model of familial hypocalciuric hypercalcemia type 1.</t>
  </si>
  <si>
    <t>Wang, Xiaohua; Lundblad, James; Smith, Stephen M</t>
  </si>
  <si>
    <t>PLoS One</t>
  </si>
  <si>
    <t>Emotional numbing in PTSD is associated with lower amygdala reactivity to pain.</t>
  </si>
  <si>
    <t>Korem, Nachshon; Duek, Or; Ben-Zion, Ziv; Kaczkurkin, Antonia N; Lissek, Shmuel; Orederu, Temidayo; Schiller, Daniela; Harpaz-Rotem, Ilan; Levy, Ifat</t>
  </si>
  <si>
    <t>Plasticity in astrocyte subpopulations regulates heroin relapse.</t>
  </si>
  <si>
    <t>Kruyer, Anna; Angelis, Ariana; Garcia-Keller, Constanza; Li, Hong; Kalivas, Peter W</t>
  </si>
  <si>
    <t>Sci Adv</t>
  </si>
  <si>
    <t>Fatty acid amide hydrolase activity in the dorsal periaqueductal gray attenuates neuropathic pain and associated dysautonomia.</t>
  </si>
  <si>
    <t>Woyach, Victoria; Sherman, Katherine; Hillard, Cecilia J; Hopp, Francis A; Hogan, Quinn H; Dean, Caron</t>
  </si>
  <si>
    <t>Am J Physiol Regul Integr Comp Physiol</t>
  </si>
  <si>
    <t>Association of a Positive Drug Screening for Cannabis With Mortality and Hospital Visits Among Veterans Affairs Enrollees Prescribed Opioids.</t>
  </si>
  <si>
    <t>Keyhani, Salomeh; Leonard, Samuel; Byers, Amy L; Zaman, Tauheed; Krebs, Erin; Austin, Peter C; Moss-Vazquez, Tristan; Austin, Charles; Sandbrink, Friedhelm; Bravata, Dawn M</t>
  </si>
  <si>
    <t>JAMA Netw Open</t>
  </si>
  <si>
    <t>Anandamide in the dorsal periaqueductal gray inhibits sensory input without a correlation to sympathoexcitation.</t>
  </si>
  <si>
    <t>Roberts, Christopher J; Hopp, Francis A; Hogan, Quinn H; Dean, Caron</t>
  </si>
  <si>
    <t>Direct whole-cell patch-clamp recordings from small boutons in rodent primary neocortical neuron cultures.</t>
  </si>
  <si>
    <t>Ritzau-Jost, Andreas; Nerlich, Jana; Kaas, Thomas; Krueger, Martin; Tsintsadze, Timur; Eilers, Jens; Barbour, Boris; Smith, Stephen M; Hallermann, Stefan</t>
  </si>
  <si>
    <t>STAR Protoc</t>
  </si>
  <si>
    <t>A national population-based study of cannabis use and correlates among U.S. veterans prescribed opioids in primary care.</t>
  </si>
  <si>
    <t>Zaman, Tauheed; Bravata, Dawn M; Byers, Amy L; Krebs, Erin E; Leonard, Samuel J; Sandbrink, Friedhelm; Barker, Wylie; Keyhani, Salomeh</t>
  </si>
  <si>
    <t>BMC Psychiatry</t>
  </si>
  <si>
    <t>Somatic and terminal CB1 receptors are differentially coupled to voltage-gated sodium channels in neocortical neurons.</t>
  </si>
  <si>
    <t>Steiger, Luke J; Tsintsadze, Timur; Mattheisen, Glynis B; Smith, Stephen M</t>
  </si>
  <si>
    <t>Preliminary study of the interactive effects of THC and ethanol on self-reported ability and simulated driving, subjective effects, and cardiovascular responses.</t>
  </si>
  <si>
    <t>Schnakenberg Martin, Ashley M; Flynn, L Taylor; Sefik, Esra; Luddy, Christina; Cortes-Briones, Jose; Skosnik, Patrick D; Pittman, Brian; Ranganathan, Mohini; D'Souza, Deepak Cyril</t>
  </si>
  <si>
    <t>CX002547</t>
  </si>
  <si>
    <t>MARTIN, ASHLEY SCHNAKENBERG</t>
  </si>
  <si>
    <t>Intrusive thinking: Circuit and synaptic mechanisms of a transdiagnostic psychiatric symptom.</t>
  </si>
  <si>
    <t>Kalivas, Peter W; Gourley, Shannon L; Paulus, Martin P</t>
  </si>
  <si>
    <t>Neurosci Biobehav Rev</t>
  </si>
  <si>
    <t>Differential Modulation of GABAergic and Glutamatergic Neurons in the Ventral Pallidum by GABA and Neuropeptides.</t>
  </si>
  <si>
    <t>Neuhofer, Daniela; Kalivas, Peter</t>
  </si>
  <si>
    <t>eNeuro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</si>
</sst>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00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33" borderId="0" xfId="0" applyFont="1" applyFill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wrapText="1"/>
    </xf>
    <xf numFmtId="14" fontId="0" fillId="0" borderId="10" xfId="0" applyNumberFormat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16" fillId="0" borderId="12" xfId="0" applyFont="1" applyBorder="1" applyAlignment="1">
      <alignment horizontal="left"/>
    </xf>
    <xf numFmtId="8" fontId="0" fillId="0" borderId="11" xfId="0" applyNumberFormat="1" applyBorder="1" applyAlignment="1">
      <alignment horizontal="right"/>
    </xf>
    <xf numFmtId="0" fontId="19" fillId="0" borderId="0" xfId="0" applyNumberFormat="1" applyFont="1" applyFill="1" applyBorder="1" applyAlignment="1" applyProtection="1"/>
    <xf numFmtId="1" fontId="19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>
      <alignment wrapText="1"/>
    </xf>
    <xf numFmtId="0" fontId="0" fillId="0" borderId="0" xfId="0" applyAlignment="1">
      <alignment wrapText="1"/>
    </xf>
    <xf numFmtId="8" fontId="0" fillId="0" borderId="0" xfId="0" applyNumberFormat="1"/>
    <xf numFmtId="0" fontId="18" fillId="34" borderId="14" xfId="0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color rgb="FF9C0006"/>
      </font>
      <fill>
        <patternFill>
          <bgColor rgb="FFFFC7CE"/>
        </patternFill>
      </fill>
    </dxf>
    <dxf>
      <numFmt numFmtId="12" formatCode="&quot;$&quot;#,##0.00_);[Red]\(&quot;$&quot;#,##0.00\)"/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99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2" totalsRowShown="0" headerRowDxfId="27" dataDxfId="26" headerRowBorderDxfId="24" tableBorderDxfId="25" totalsRowBorderDxfId="23">
  <autoFilter ref="A1:G12" xr:uid="{00000000-0009-0000-0100-000001000000}"/>
  <sortState xmlns:xlrd2="http://schemas.microsoft.com/office/spreadsheetml/2017/richdata2" ref="A2:G12">
    <sortCondition ref="A1:A12"/>
  </sortState>
  <tableColumns count="7">
    <tableColumn id="1" xr3:uid="{00000000-0010-0000-0000-000001000000}" name="Project ID" dataDxfId="22"/>
    <tableColumn id="3" xr3:uid="{00000000-0010-0000-0000-000003000000}" name="Inv Name" dataDxfId="21"/>
    <tableColumn id="4" xr3:uid="{00000000-0010-0000-0000-000004000000}" name="Med Center Name" dataDxfId="20"/>
    <tableColumn id="6" xr3:uid="{00000000-0010-0000-0000-000006000000}" name="Project Title" dataDxfId="19"/>
    <tableColumn id="10" xr3:uid="{00000000-0010-0000-0000-00000A000000}" name="Project Start Date" dataDxfId="18"/>
    <tableColumn id="11" xr3:uid="{00000000-0010-0000-0000-00000B000000}" name="Project End Date" dataDxfId="17"/>
    <tableColumn id="18" xr3:uid="{00000000-0010-0000-0000-000012000000}" name="Total Awarded" dataDxfId="1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4A34E9-0236-42D8-9585-189C9F614820}" name="Table3" displayName="Table3" ref="A1:M88" totalsRowShown="0" headerRowDxfId="14" dataDxfId="13">
  <autoFilter ref="A1:M88" xr:uid="{314A34E9-0236-42D8-9585-189C9F614820}"/>
  <sortState xmlns:xlrd2="http://schemas.microsoft.com/office/spreadsheetml/2017/richdata2" ref="A2:M88">
    <sortCondition ref="A1:A88"/>
  </sortState>
  <tableColumns count="13">
    <tableColumn id="1" xr3:uid="{182BDD80-8235-4509-99C6-44BB61345D71}" name="PMID" dataDxfId="12"/>
    <tableColumn id="2" xr3:uid="{6E45210B-EC66-4FC0-A525-D3F8B005239F}" name="Publish Date" dataDxfId="11"/>
    <tableColumn id="3" xr3:uid="{F2563345-B31D-4B4E-85E6-475995768290}" name="Publication Title" dataDxfId="10"/>
    <tableColumn id="4" xr3:uid="{19FD705B-9FCF-4BF6-AFAD-7E897ADB5A32}" name="Authors" dataDxfId="9"/>
    <tableColumn id="5" xr3:uid="{ECCC41F2-F6C0-4AFA-AC29-59340BD55248}" name="Journal Title" dataDxfId="8"/>
    <tableColumn id="6" xr3:uid="{3A8679A7-7F9C-4398-8653-5A29640ACD4F}" name="Impact Factor" dataDxfId="7"/>
    <tableColumn id="7" xr3:uid="{9977983A-388A-49A2-94B1-4B12A897AC7C}" name="ProjectCount" dataDxfId="6"/>
    <tableColumn id="8" xr3:uid="{73EC1D34-4542-4D79-BC3F-245F5BFC1815}" name="RCR" dataDxfId="5"/>
    <tableColumn id="9" xr3:uid="{4FB50068-3E99-4B8C-8CA6-124D095CF2D3}" name="Citation Count" dataDxfId="4"/>
    <tableColumn id="10" xr3:uid="{81E75890-C351-4583-85ED-B7BB1ACFA807}" name="Project_Number" dataDxfId="3"/>
    <tableColumn id="11" xr3:uid="{3C163F63-994A-4BDB-980B-6DAD8F3EAAEF}" name="PI_Name" dataDxfId="2"/>
    <tableColumn id="13" xr3:uid="{61334BDD-15FD-4D06-8E8A-0A6CD84FE4E0}" name="RAFT ID" dataDxfId="1"/>
    <tableColumn id="15" xr3:uid="{86D67F05-9482-4C8E-8C5B-307120C13C12}" name="RAFT Titl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showGridLines="0" tabSelected="1" topLeftCell="A7" workbookViewId="0">
      <selection activeCell="A11" sqref="A11"/>
    </sheetView>
  </sheetViews>
  <sheetFormatPr defaultRowHeight="14.45"/>
  <cols>
    <col min="1" max="1" width="19.140625" customWidth="1"/>
    <col min="2" max="2" width="19.28515625" bestFit="1" customWidth="1"/>
    <col min="3" max="3" width="18.5703125" bestFit="1" customWidth="1"/>
    <col min="4" max="4" width="34.85546875" bestFit="1" customWidth="1"/>
    <col min="5" max="5" width="17.85546875" customWidth="1"/>
    <col min="6" max="6" width="16.85546875" customWidth="1"/>
    <col min="7" max="7" width="14" bestFit="1" customWidth="1"/>
  </cols>
  <sheetData>
    <row r="1" spans="1:8" s="1" customForma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</row>
    <row r="2" spans="1:8" ht="43.5">
      <c r="A2" s="7" t="s">
        <v>7</v>
      </c>
      <c r="B2" s="2" t="s">
        <v>8</v>
      </c>
      <c r="C2" s="3" t="s">
        <v>9</v>
      </c>
      <c r="D2" s="3" t="s">
        <v>10</v>
      </c>
      <c r="E2" s="4">
        <v>45078</v>
      </c>
      <c r="F2" s="4">
        <v>46904</v>
      </c>
      <c r="G2" s="8">
        <v>1496479</v>
      </c>
    </row>
    <row r="3" spans="1:8" ht="29.1">
      <c r="A3" s="7" t="s">
        <v>11</v>
      </c>
      <c r="B3" s="2" t="s">
        <v>8</v>
      </c>
      <c r="C3" s="3" t="s">
        <v>9</v>
      </c>
      <c r="D3" s="3" t="s">
        <v>12</v>
      </c>
      <c r="E3" s="4">
        <v>43800</v>
      </c>
      <c r="F3" s="4">
        <v>45443</v>
      </c>
      <c r="G3" s="8">
        <v>1044272</v>
      </c>
    </row>
    <row r="4" spans="1:8" ht="43.5">
      <c r="A4" s="7" t="s">
        <v>13</v>
      </c>
      <c r="B4" s="2" t="s">
        <v>14</v>
      </c>
      <c r="C4" s="3" t="s">
        <v>15</v>
      </c>
      <c r="D4" s="3" t="s">
        <v>16</v>
      </c>
      <c r="E4" s="4">
        <v>43374</v>
      </c>
      <c r="F4" s="4">
        <v>45565</v>
      </c>
      <c r="G4" s="8">
        <v>1523620</v>
      </c>
    </row>
    <row r="5" spans="1:8" ht="43.5">
      <c r="A5" s="7" t="s">
        <v>17</v>
      </c>
      <c r="B5" s="2" t="s">
        <v>18</v>
      </c>
      <c r="C5" s="3" t="s">
        <v>19</v>
      </c>
      <c r="D5" s="3" t="s">
        <v>20</v>
      </c>
      <c r="E5" s="4">
        <v>45200</v>
      </c>
      <c r="F5" s="4">
        <v>46660</v>
      </c>
      <c r="G5" s="8">
        <v>1252000</v>
      </c>
    </row>
    <row r="6" spans="1:8" ht="29.1">
      <c r="A6" s="7" t="s">
        <v>21</v>
      </c>
      <c r="B6" s="2" t="s">
        <v>22</v>
      </c>
      <c r="C6" s="3" t="s">
        <v>23</v>
      </c>
      <c r="D6" s="3" t="s">
        <v>24</v>
      </c>
      <c r="E6" s="4">
        <v>44927</v>
      </c>
      <c r="F6" s="4">
        <v>46752</v>
      </c>
      <c r="G6" s="8">
        <v>949551</v>
      </c>
    </row>
    <row r="7" spans="1:8" ht="29.1">
      <c r="A7" s="7" t="s">
        <v>25</v>
      </c>
      <c r="B7" s="2" t="s">
        <v>26</v>
      </c>
      <c r="C7" s="3" t="s">
        <v>19</v>
      </c>
      <c r="D7" s="3" t="s">
        <v>27</v>
      </c>
      <c r="E7" s="4">
        <v>44835</v>
      </c>
      <c r="F7" s="4">
        <v>46660</v>
      </c>
      <c r="G7" s="8">
        <v>1199910</v>
      </c>
    </row>
    <row r="8" spans="1:8" ht="57.95">
      <c r="A8" s="7" t="s">
        <v>28</v>
      </c>
      <c r="B8" s="2" t="s">
        <v>29</v>
      </c>
      <c r="C8" s="3" t="s">
        <v>30</v>
      </c>
      <c r="D8" s="3" t="s">
        <v>31</v>
      </c>
      <c r="E8" s="4">
        <v>45383</v>
      </c>
      <c r="F8" s="4">
        <v>47208</v>
      </c>
      <c r="G8" s="8">
        <v>1145698</v>
      </c>
    </row>
    <row r="9" spans="1:8" ht="29.1">
      <c r="A9" s="7" t="s">
        <v>32</v>
      </c>
      <c r="B9" s="2" t="s">
        <v>33</v>
      </c>
      <c r="C9" s="3" t="s">
        <v>34</v>
      </c>
      <c r="D9" s="3" t="s">
        <v>35</v>
      </c>
      <c r="E9" s="4">
        <v>44652</v>
      </c>
      <c r="F9" s="4">
        <v>46112</v>
      </c>
      <c r="G9" s="8">
        <v>710000</v>
      </c>
    </row>
    <row r="10" spans="1:8" ht="29.1">
      <c r="A10" s="7" t="s">
        <v>36</v>
      </c>
      <c r="B10" s="2" t="s">
        <v>37</v>
      </c>
      <c r="C10" s="3" t="s">
        <v>23</v>
      </c>
      <c r="D10" s="3" t="s">
        <v>38</v>
      </c>
      <c r="E10" s="4">
        <v>44652</v>
      </c>
      <c r="F10" s="4">
        <v>46477</v>
      </c>
      <c r="G10" s="8">
        <v>9571220</v>
      </c>
    </row>
    <row r="11" spans="1:8" ht="43.5">
      <c r="A11" s="7" t="s">
        <v>39</v>
      </c>
      <c r="B11" s="2" t="s">
        <v>40</v>
      </c>
      <c r="C11" s="3" t="s">
        <v>41</v>
      </c>
      <c r="D11" s="3" t="s">
        <v>42</v>
      </c>
      <c r="E11" s="4">
        <v>45383</v>
      </c>
      <c r="F11" s="4">
        <v>47573</v>
      </c>
      <c r="G11" s="8">
        <v>1641438</v>
      </c>
    </row>
    <row r="12" spans="1:8" ht="43.5">
      <c r="A12" s="7" t="s">
        <v>43</v>
      </c>
      <c r="B12" s="2" t="s">
        <v>44</v>
      </c>
      <c r="C12" s="3" t="s">
        <v>45</v>
      </c>
      <c r="D12" s="3" t="s">
        <v>46</v>
      </c>
      <c r="E12" s="4">
        <v>44105</v>
      </c>
      <c r="F12" s="4">
        <v>46112</v>
      </c>
      <c r="G12" s="8">
        <v>1198117</v>
      </c>
    </row>
    <row r="13" spans="1:8">
      <c r="H13" s="5"/>
    </row>
    <row r="14" spans="1:8">
      <c r="G14" s="13">
        <f>SUM(Table1[Total Awarded])</f>
        <v>21732305</v>
      </c>
      <c r="H14" s="5"/>
    </row>
    <row r="15" spans="1:8">
      <c r="G15" s="13"/>
      <c r="H15" s="5"/>
    </row>
    <row r="16" spans="1:8">
      <c r="H16" s="5"/>
    </row>
    <row r="17" spans="8:8">
      <c r="H17" s="5"/>
    </row>
    <row r="18" spans="8:8">
      <c r="H18" s="5"/>
    </row>
    <row r="19" spans="8:8">
      <c r="H19" s="5"/>
    </row>
    <row r="20" spans="8:8">
      <c r="H20" s="5"/>
    </row>
    <row r="21" spans="8:8">
      <c r="H21" s="5"/>
    </row>
    <row r="22" spans="8:8">
      <c r="H22" s="5"/>
    </row>
    <row r="23" spans="8:8">
      <c r="H23" s="5"/>
    </row>
    <row r="24" spans="8:8">
      <c r="H24" s="5"/>
    </row>
    <row r="25" spans="8:8">
      <c r="H25" s="5"/>
    </row>
    <row r="26" spans="8:8">
      <c r="H26" s="5"/>
    </row>
    <row r="27" spans="8:8">
      <c r="H27" s="5"/>
    </row>
    <row r="28" spans="8:8">
      <c r="H28" s="5"/>
    </row>
    <row r="29" spans="8:8">
      <c r="H29" s="5"/>
    </row>
    <row r="30" spans="8:8">
      <c r="H30" s="5"/>
    </row>
    <row r="31" spans="8:8">
      <c r="H31" s="5"/>
    </row>
    <row r="32" spans="8:8">
      <c r="H32" s="5"/>
    </row>
    <row r="33" spans="8:8">
      <c r="H33" s="5"/>
    </row>
    <row r="34" spans="8:8">
      <c r="H34" s="5"/>
    </row>
    <row r="35" spans="8:8">
      <c r="H35" s="5"/>
    </row>
    <row r="36" spans="8:8">
      <c r="H36" s="5"/>
    </row>
    <row r="37" spans="8:8">
      <c r="H37" s="5"/>
    </row>
    <row r="38" spans="8:8">
      <c r="H38" s="5"/>
    </row>
    <row r="39" spans="8:8">
      <c r="H39" s="5"/>
    </row>
    <row r="40" spans="8:8">
      <c r="H40" s="5"/>
    </row>
    <row r="41" spans="8:8">
      <c r="H41" s="5"/>
    </row>
    <row r="42" spans="8:8">
      <c r="H42" s="5"/>
    </row>
    <row r="43" spans="8:8">
      <c r="H43" s="5"/>
    </row>
    <row r="44" spans="8:8">
      <c r="H44" s="5"/>
    </row>
    <row r="45" spans="8:8">
      <c r="H45" s="5"/>
    </row>
    <row r="46" spans="8:8">
      <c r="H46" s="5"/>
    </row>
    <row r="47" spans="8:8">
      <c r="H47" s="5"/>
    </row>
    <row r="48" spans="8:8">
      <c r="H48" s="5"/>
    </row>
    <row r="49" spans="8:8">
      <c r="H49" s="5"/>
    </row>
    <row r="50" spans="8:8">
      <c r="H50" s="5"/>
    </row>
    <row r="51" spans="8:8">
      <c r="H51" s="5"/>
    </row>
    <row r="52" spans="8:8">
      <c r="H52" s="5"/>
    </row>
    <row r="53" spans="8:8">
      <c r="H53" s="5"/>
    </row>
    <row r="54" spans="8:8">
      <c r="H54" s="5"/>
    </row>
    <row r="55" spans="8:8">
      <c r="H55" s="6"/>
    </row>
  </sheetData>
  <conditionalFormatting sqref="A1:A1048576">
    <cfRule type="duplicateValues" dxfId="28" priority="1"/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BE7F-35BE-42FD-AC25-58A46560121B}">
  <dimension ref="A1:M88"/>
  <sheetViews>
    <sheetView workbookViewId="0">
      <selection activeCell="C1" sqref="C1:C1048576"/>
    </sheetView>
  </sheetViews>
  <sheetFormatPr defaultRowHeight="14.45"/>
  <cols>
    <col min="2" max="2" width="13.140625" customWidth="1"/>
    <col min="3" max="3" width="38.42578125" style="12" customWidth="1"/>
    <col min="4" max="4" width="9.42578125" customWidth="1"/>
    <col min="5" max="5" width="12.85546875" customWidth="1"/>
    <col min="6" max="6" width="14.140625" customWidth="1"/>
    <col min="7" max="7" width="13.5703125" customWidth="1"/>
    <col min="9" max="9" width="14.7109375" customWidth="1"/>
    <col min="10" max="10" width="16.42578125" customWidth="1"/>
    <col min="11" max="11" width="18.42578125" customWidth="1"/>
    <col min="12" max="12" width="13.42578125" bestFit="1" customWidth="1"/>
    <col min="13" max="13" width="10.7109375" customWidth="1"/>
    <col min="14" max="14" width="12.5703125" customWidth="1"/>
  </cols>
  <sheetData>
    <row r="1" spans="1:13">
      <c r="A1" s="9" t="s">
        <v>47</v>
      </c>
      <c r="B1" s="9" t="s">
        <v>48</v>
      </c>
      <c r="C1" s="11" t="s">
        <v>49</v>
      </c>
      <c r="D1" s="9" t="s">
        <v>50</v>
      </c>
      <c r="E1" s="9" t="s">
        <v>51</v>
      </c>
      <c r="F1" s="9" t="s">
        <v>52</v>
      </c>
      <c r="G1" s="9" t="s">
        <v>53</v>
      </c>
      <c r="H1" s="9" t="s">
        <v>54</v>
      </c>
      <c r="I1" s="9" t="s">
        <v>55</v>
      </c>
      <c r="J1" s="9" t="s">
        <v>56</v>
      </c>
      <c r="K1" s="9" t="s">
        <v>57</v>
      </c>
      <c r="L1" s="9" t="s">
        <v>58</v>
      </c>
      <c r="M1" s="9" t="s">
        <v>59</v>
      </c>
    </row>
    <row r="2" spans="1:13" ht="29.1">
      <c r="A2" s="10">
        <v>25402300</v>
      </c>
      <c r="B2" s="9" t="s">
        <v>60</v>
      </c>
      <c r="C2" s="11" t="s">
        <v>61</v>
      </c>
      <c r="D2" s="9" t="s">
        <v>62</v>
      </c>
      <c r="E2" s="9" t="s">
        <v>63</v>
      </c>
      <c r="F2" s="9">
        <v>6.3120000000000003</v>
      </c>
      <c r="G2" s="10">
        <v>19</v>
      </c>
      <c r="H2" s="9">
        <v>0.14000000000000001</v>
      </c>
      <c r="I2" s="10">
        <v>4</v>
      </c>
      <c r="J2" s="9" t="s">
        <v>64</v>
      </c>
      <c r="K2" s="9" t="s">
        <v>65</v>
      </c>
      <c r="L2" s="9" t="s">
        <v>66</v>
      </c>
      <c r="M2" s="9" t="s">
        <v>67</v>
      </c>
    </row>
    <row r="3" spans="1:13" ht="29.1">
      <c r="A3" s="10">
        <v>25402300</v>
      </c>
      <c r="B3" s="9" t="s">
        <v>60</v>
      </c>
      <c r="C3" s="11" t="s">
        <v>61</v>
      </c>
      <c r="D3" s="9" t="s">
        <v>62</v>
      </c>
      <c r="E3" s="9" t="s">
        <v>63</v>
      </c>
      <c r="F3" s="9">
        <v>6.3120000000000003</v>
      </c>
      <c r="G3" s="10">
        <v>19</v>
      </c>
      <c r="H3" s="9">
        <v>0.14000000000000001</v>
      </c>
      <c r="I3" s="10">
        <v>4</v>
      </c>
      <c r="J3" s="9" t="s">
        <v>64</v>
      </c>
      <c r="K3" s="9" t="s">
        <v>65</v>
      </c>
      <c r="L3" s="9" t="s">
        <v>68</v>
      </c>
      <c r="M3" s="9" t="s">
        <v>69</v>
      </c>
    </row>
    <row r="4" spans="1:13" ht="29.1">
      <c r="A4" s="10">
        <v>27065884</v>
      </c>
      <c r="B4" s="9" t="s">
        <v>70</v>
      </c>
      <c r="C4" s="11" t="s">
        <v>71</v>
      </c>
      <c r="D4" s="9" t="s">
        <v>62</v>
      </c>
      <c r="E4" s="9" t="s">
        <v>72</v>
      </c>
      <c r="F4" s="9">
        <v>4.1340000000000003</v>
      </c>
      <c r="G4" s="10">
        <v>19</v>
      </c>
      <c r="H4" s="9">
        <v>1.56</v>
      </c>
      <c r="I4" s="10">
        <v>37</v>
      </c>
      <c r="J4" s="9" t="s">
        <v>64</v>
      </c>
      <c r="K4" s="9" t="s">
        <v>65</v>
      </c>
      <c r="L4" s="9" t="s">
        <v>66</v>
      </c>
      <c r="M4" s="9" t="s">
        <v>67</v>
      </c>
    </row>
    <row r="5" spans="1:13" ht="29.1">
      <c r="A5" s="10">
        <v>27065884</v>
      </c>
      <c r="B5" s="9" t="s">
        <v>70</v>
      </c>
      <c r="C5" s="11" t="s">
        <v>71</v>
      </c>
      <c r="D5" s="9" t="s">
        <v>62</v>
      </c>
      <c r="E5" s="9" t="s">
        <v>72</v>
      </c>
      <c r="F5" s="9">
        <v>4.1340000000000003</v>
      </c>
      <c r="G5" s="10">
        <v>19</v>
      </c>
      <c r="H5" s="9">
        <v>1.56</v>
      </c>
      <c r="I5" s="10">
        <v>37</v>
      </c>
      <c r="J5" s="9" t="s">
        <v>64</v>
      </c>
      <c r="K5" s="9" t="s">
        <v>65</v>
      </c>
      <c r="L5" s="9" t="s">
        <v>68</v>
      </c>
      <c r="M5" s="9" t="s">
        <v>69</v>
      </c>
    </row>
    <row r="6" spans="1:13" ht="43.5">
      <c r="A6" s="10">
        <v>28320843</v>
      </c>
      <c r="B6" s="9" t="s">
        <v>73</v>
      </c>
      <c r="C6" s="11" t="s">
        <v>74</v>
      </c>
      <c r="D6" s="9" t="s">
        <v>75</v>
      </c>
      <c r="E6" s="9" t="s">
        <v>76</v>
      </c>
      <c r="F6" s="9">
        <v>5.97</v>
      </c>
      <c r="G6" s="10">
        <v>19</v>
      </c>
      <c r="H6" s="9">
        <v>0.8</v>
      </c>
      <c r="I6" s="10">
        <v>21</v>
      </c>
      <c r="J6" s="9" t="s">
        <v>64</v>
      </c>
      <c r="K6" s="9" t="s">
        <v>65</v>
      </c>
      <c r="L6" s="9" t="s">
        <v>68</v>
      </c>
      <c r="M6" s="9" t="s">
        <v>69</v>
      </c>
    </row>
    <row r="7" spans="1:13" ht="43.5">
      <c r="A7" s="10">
        <v>28320843</v>
      </c>
      <c r="B7" s="9" t="s">
        <v>73</v>
      </c>
      <c r="C7" s="11" t="s">
        <v>74</v>
      </c>
      <c r="D7" s="9" t="s">
        <v>75</v>
      </c>
      <c r="E7" s="9" t="s">
        <v>76</v>
      </c>
      <c r="F7" s="9">
        <v>5.97</v>
      </c>
      <c r="G7" s="10">
        <v>19</v>
      </c>
      <c r="H7" s="9">
        <v>0.8</v>
      </c>
      <c r="I7" s="10">
        <v>21</v>
      </c>
      <c r="J7" s="9" t="s">
        <v>64</v>
      </c>
      <c r="K7" s="9" t="s">
        <v>65</v>
      </c>
      <c r="L7" s="9" t="s">
        <v>66</v>
      </c>
      <c r="M7" s="9" t="s">
        <v>67</v>
      </c>
    </row>
    <row r="8" spans="1:13" ht="57.95">
      <c r="A8" s="10">
        <v>28671601</v>
      </c>
      <c r="B8" s="9" t="s">
        <v>73</v>
      </c>
      <c r="C8" s="11" t="s">
        <v>77</v>
      </c>
      <c r="D8" s="9" t="s">
        <v>78</v>
      </c>
      <c r="E8" s="9" t="s">
        <v>79</v>
      </c>
      <c r="F8" s="9">
        <v>3.6869999999999998</v>
      </c>
      <c r="G8" s="10">
        <v>19</v>
      </c>
      <c r="H8" s="9">
        <v>0.33</v>
      </c>
      <c r="I8" s="10">
        <v>7</v>
      </c>
      <c r="J8" s="9" t="s">
        <v>80</v>
      </c>
      <c r="K8" s="9" t="s">
        <v>81</v>
      </c>
      <c r="L8" s="9" t="s">
        <v>82</v>
      </c>
      <c r="M8" s="9" t="s">
        <v>83</v>
      </c>
    </row>
    <row r="9" spans="1:13" ht="29.1">
      <c r="A9" s="10">
        <v>28699241</v>
      </c>
      <c r="B9" s="9" t="s">
        <v>84</v>
      </c>
      <c r="C9" s="11" t="s">
        <v>85</v>
      </c>
      <c r="D9" s="9" t="s">
        <v>86</v>
      </c>
      <c r="E9" s="9" t="s">
        <v>87</v>
      </c>
      <c r="F9" s="9">
        <v>4.1390000000000002</v>
      </c>
      <c r="G9" s="10">
        <v>19</v>
      </c>
      <c r="H9" s="9">
        <v>1.74</v>
      </c>
      <c r="I9" s="10">
        <v>37</v>
      </c>
      <c r="J9" s="9" t="s">
        <v>64</v>
      </c>
      <c r="K9" s="9" t="s">
        <v>65</v>
      </c>
      <c r="L9" s="9" t="s">
        <v>66</v>
      </c>
      <c r="M9" s="9" t="s">
        <v>67</v>
      </c>
    </row>
    <row r="10" spans="1:13" ht="29.1">
      <c r="A10" s="10">
        <v>28699241</v>
      </c>
      <c r="B10" s="9" t="s">
        <v>84</v>
      </c>
      <c r="C10" s="11" t="s">
        <v>85</v>
      </c>
      <c r="D10" s="9" t="s">
        <v>86</v>
      </c>
      <c r="E10" s="9" t="s">
        <v>87</v>
      </c>
      <c r="F10" s="9">
        <v>4.1390000000000002</v>
      </c>
      <c r="G10" s="10">
        <v>19</v>
      </c>
      <c r="H10" s="9">
        <v>1.74</v>
      </c>
      <c r="I10" s="10">
        <v>37</v>
      </c>
      <c r="J10" s="9" t="s">
        <v>64</v>
      </c>
      <c r="K10" s="9" t="s">
        <v>65</v>
      </c>
      <c r="L10" s="9" t="s">
        <v>68</v>
      </c>
      <c r="M10" s="9" t="s">
        <v>69</v>
      </c>
    </row>
    <row r="11" spans="1:13" ht="43.5">
      <c r="A11" s="10">
        <v>29146136</v>
      </c>
      <c r="B11" s="9" t="s">
        <v>84</v>
      </c>
      <c r="C11" s="11" t="s">
        <v>88</v>
      </c>
      <c r="D11" s="9" t="s">
        <v>89</v>
      </c>
      <c r="E11" s="9" t="s">
        <v>90</v>
      </c>
      <c r="F11" s="9">
        <v>4.8330000000000002</v>
      </c>
      <c r="G11" s="10">
        <v>19</v>
      </c>
      <c r="H11" s="9">
        <v>1.22</v>
      </c>
      <c r="I11" s="10">
        <v>22</v>
      </c>
      <c r="J11" s="9" t="s">
        <v>80</v>
      </c>
      <c r="K11" s="9" t="s">
        <v>81</v>
      </c>
      <c r="L11" s="9" t="s">
        <v>82</v>
      </c>
      <c r="M11" s="9" t="s">
        <v>83</v>
      </c>
    </row>
    <row r="12" spans="1:13" ht="43.5">
      <c r="A12" s="10">
        <v>29594872</v>
      </c>
      <c r="B12" s="9" t="s">
        <v>91</v>
      </c>
      <c r="C12" s="11" t="s">
        <v>92</v>
      </c>
      <c r="D12" s="9" t="s">
        <v>93</v>
      </c>
      <c r="E12" s="9" t="s">
        <v>94</v>
      </c>
      <c r="F12" s="9">
        <v>3.391</v>
      </c>
      <c r="G12" s="10">
        <v>19</v>
      </c>
      <c r="H12" s="9">
        <v>0.39</v>
      </c>
      <c r="I12" s="10">
        <v>6</v>
      </c>
      <c r="J12" s="9" t="s">
        <v>95</v>
      </c>
      <c r="K12" s="9" t="s">
        <v>96</v>
      </c>
      <c r="L12" s="9" t="s">
        <v>97</v>
      </c>
      <c r="M12" s="9" t="s">
        <v>98</v>
      </c>
    </row>
    <row r="13" spans="1:13" ht="43.5">
      <c r="A13" s="10">
        <v>29805475</v>
      </c>
      <c r="B13" s="9" t="s">
        <v>84</v>
      </c>
      <c r="C13" s="11" t="s">
        <v>99</v>
      </c>
      <c r="D13" s="9" t="s">
        <v>100</v>
      </c>
      <c r="E13" s="9" t="s">
        <v>101</v>
      </c>
      <c r="F13" s="9">
        <v>2.6059999999999999</v>
      </c>
      <c r="G13" s="10">
        <v>19</v>
      </c>
      <c r="H13" s="9">
        <v>1.74</v>
      </c>
      <c r="I13" s="10">
        <v>29</v>
      </c>
      <c r="J13" s="9" t="s">
        <v>80</v>
      </c>
      <c r="K13" s="9" t="s">
        <v>81</v>
      </c>
      <c r="L13" s="9" t="s">
        <v>82</v>
      </c>
      <c r="M13" s="9" t="s">
        <v>83</v>
      </c>
    </row>
    <row r="14" spans="1:13" ht="29.1">
      <c r="A14" s="10">
        <v>29847805</v>
      </c>
      <c r="B14" s="9" t="s">
        <v>84</v>
      </c>
      <c r="C14" s="11" t="s">
        <v>102</v>
      </c>
      <c r="D14" s="9" t="s">
        <v>103</v>
      </c>
      <c r="E14" s="9" t="s">
        <v>104</v>
      </c>
      <c r="F14" s="9">
        <v>7.8150000000000004</v>
      </c>
      <c r="G14" s="10">
        <v>19</v>
      </c>
      <c r="H14" s="9">
        <v>0.37</v>
      </c>
      <c r="I14" s="10">
        <v>7</v>
      </c>
      <c r="J14" s="9" t="s">
        <v>64</v>
      </c>
      <c r="K14" s="9" t="s">
        <v>65</v>
      </c>
      <c r="L14" s="9" t="s">
        <v>66</v>
      </c>
      <c r="M14" s="9" t="s">
        <v>67</v>
      </c>
    </row>
    <row r="15" spans="1:13" ht="29.1">
      <c r="A15" s="10">
        <v>29847805</v>
      </c>
      <c r="B15" s="9" t="s">
        <v>84</v>
      </c>
      <c r="C15" s="11" t="s">
        <v>102</v>
      </c>
      <c r="D15" s="9" t="s">
        <v>103</v>
      </c>
      <c r="E15" s="9" t="s">
        <v>104</v>
      </c>
      <c r="F15" s="9">
        <v>7.8150000000000004</v>
      </c>
      <c r="G15" s="10">
        <v>19</v>
      </c>
      <c r="H15" s="9">
        <v>0.37</v>
      </c>
      <c r="I15" s="10">
        <v>7</v>
      </c>
      <c r="J15" s="9" t="s">
        <v>64</v>
      </c>
      <c r="K15" s="9" t="s">
        <v>65</v>
      </c>
      <c r="L15" s="9" t="s">
        <v>68</v>
      </c>
      <c r="M15" s="9" t="s">
        <v>69</v>
      </c>
    </row>
    <row r="16" spans="1:13" ht="43.5">
      <c r="A16" s="10">
        <v>30179534</v>
      </c>
      <c r="B16" s="9" t="s">
        <v>84</v>
      </c>
      <c r="C16" s="11" t="s">
        <v>105</v>
      </c>
      <c r="D16" s="9" t="s">
        <v>106</v>
      </c>
      <c r="E16" s="9" t="s">
        <v>107</v>
      </c>
      <c r="F16" s="9" t="s">
        <v>108</v>
      </c>
      <c r="G16" s="10">
        <v>19</v>
      </c>
      <c r="H16" s="9">
        <v>2.29</v>
      </c>
      <c r="I16" s="10">
        <v>34</v>
      </c>
      <c r="J16" s="9" t="s">
        <v>109</v>
      </c>
      <c r="K16" s="9" t="s">
        <v>110</v>
      </c>
      <c r="L16" s="9" t="s">
        <v>13</v>
      </c>
      <c r="M16" s="9" t="s">
        <v>16</v>
      </c>
    </row>
    <row r="17" spans="1:13" ht="43.5">
      <c r="A17" s="10">
        <v>30656634</v>
      </c>
      <c r="B17" s="9" t="s">
        <v>91</v>
      </c>
      <c r="C17" s="11" t="s">
        <v>111</v>
      </c>
      <c r="D17" s="9" t="s">
        <v>112</v>
      </c>
      <c r="E17" s="9" t="s">
        <v>113</v>
      </c>
      <c r="F17" s="9" t="s">
        <v>108</v>
      </c>
      <c r="G17" s="10">
        <v>19</v>
      </c>
      <c r="H17" s="9">
        <v>0.24</v>
      </c>
      <c r="I17" s="10">
        <v>3</v>
      </c>
      <c r="J17" s="9" t="s">
        <v>80</v>
      </c>
      <c r="K17" s="9" t="s">
        <v>81</v>
      </c>
      <c r="L17" s="9" t="s">
        <v>82</v>
      </c>
      <c r="M17" s="9" t="s">
        <v>83</v>
      </c>
    </row>
    <row r="18" spans="1:13" ht="57.95">
      <c r="A18" s="10">
        <v>30790470</v>
      </c>
      <c r="B18" s="9" t="s">
        <v>91</v>
      </c>
      <c r="C18" s="11" t="s">
        <v>114</v>
      </c>
      <c r="D18" s="9" t="s">
        <v>115</v>
      </c>
      <c r="E18" s="9" t="s">
        <v>116</v>
      </c>
      <c r="F18" s="9">
        <v>2.0910000000000002</v>
      </c>
      <c r="G18" s="10">
        <v>19</v>
      </c>
      <c r="H18" s="9">
        <v>0.63</v>
      </c>
      <c r="I18" s="10">
        <v>8</v>
      </c>
      <c r="J18" s="9" t="s">
        <v>95</v>
      </c>
      <c r="K18" s="9" t="s">
        <v>96</v>
      </c>
      <c r="L18" s="9" t="s">
        <v>97</v>
      </c>
      <c r="M18" s="9" t="s">
        <v>98</v>
      </c>
    </row>
    <row r="19" spans="1:13" ht="43.5">
      <c r="A19" s="10">
        <v>30793115</v>
      </c>
      <c r="B19" s="9" t="s">
        <v>91</v>
      </c>
      <c r="C19" s="11" t="s">
        <v>117</v>
      </c>
      <c r="D19" s="9" t="s">
        <v>118</v>
      </c>
      <c r="E19" s="9" t="s">
        <v>119</v>
      </c>
      <c r="F19" s="9" t="s">
        <v>108</v>
      </c>
      <c r="G19" s="10">
        <v>19</v>
      </c>
      <c r="H19" s="9">
        <v>0.71</v>
      </c>
      <c r="I19" s="10">
        <v>7</v>
      </c>
      <c r="J19" s="9" t="s">
        <v>109</v>
      </c>
      <c r="K19" s="9" t="s">
        <v>110</v>
      </c>
      <c r="L19" s="9" t="s">
        <v>13</v>
      </c>
      <c r="M19" s="9" t="s">
        <v>16</v>
      </c>
    </row>
    <row r="20" spans="1:13" ht="57.95">
      <c r="A20" s="10">
        <v>30881293</v>
      </c>
      <c r="B20" s="9" t="s">
        <v>91</v>
      </c>
      <c r="C20" s="11" t="s">
        <v>120</v>
      </c>
      <c r="D20" s="9" t="s">
        <v>121</v>
      </c>
      <c r="E20" s="9" t="s">
        <v>122</v>
      </c>
      <c r="F20" s="9">
        <v>2.512</v>
      </c>
      <c r="G20" s="10">
        <v>19</v>
      </c>
      <c r="H20" s="9">
        <v>0.87</v>
      </c>
      <c r="I20" s="10">
        <v>11</v>
      </c>
      <c r="J20" s="9" t="s">
        <v>95</v>
      </c>
      <c r="K20" s="9" t="s">
        <v>96</v>
      </c>
      <c r="L20" s="9" t="s">
        <v>97</v>
      </c>
      <c r="M20" s="9" t="s">
        <v>98</v>
      </c>
    </row>
    <row r="21" spans="1:13" ht="43.5">
      <c r="A21" s="10">
        <v>31114487</v>
      </c>
      <c r="B21" s="9" t="s">
        <v>91</v>
      </c>
      <c r="C21" s="11" t="s">
        <v>123</v>
      </c>
      <c r="D21" s="9" t="s">
        <v>124</v>
      </c>
      <c r="E21" s="9" t="s">
        <v>122</v>
      </c>
      <c r="F21" s="9">
        <v>2.512</v>
      </c>
      <c r="G21" s="10">
        <v>19</v>
      </c>
      <c r="H21" s="9">
        <v>1.68</v>
      </c>
      <c r="I21" s="10">
        <v>23</v>
      </c>
      <c r="J21" s="9" t="s">
        <v>125</v>
      </c>
      <c r="K21" s="9" t="s">
        <v>126</v>
      </c>
      <c r="L21" s="9" t="s">
        <v>127</v>
      </c>
      <c r="M21" s="9" t="s">
        <v>128</v>
      </c>
    </row>
    <row r="22" spans="1:13" ht="43.5">
      <c r="A22" s="10">
        <v>31135227</v>
      </c>
      <c r="B22" s="9" t="s">
        <v>91</v>
      </c>
      <c r="C22" s="11" t="s">
        <v>129</v>
      </c>
      <c r="D22" s="9" t="s">
        <v>130</v>
      </c>
      <c r="E22" s="9" t="s">
        <v>131</v>
      </c>
      <c r="F22" s="9" t="s">
        <v>108</v>
      </c>
      <c r="G22" s="10">
        <v>19</v>
      </c>
      <c r="H22" s="9">
        <v>1.46</v>
      </c>
      <c r="I22" s="10">
        <v>15</v>
      </c>
      <c r="J22" s="9" t="s">
        <v>109</v>
      </c>
      <c r="K22" s="9" t="s">
        <v>110</v>
      </c>
      <c r="L22" s="9" t="s">
        <v>13</v>
      </c>
      <c r="M22" s="9" t="s">
        <v>16</v>
      </c>
    </row>
    <row r="23" spans="1:13" ht="57.95">
      <c r="A23" s="10">
        <v>31282090</v>
      </c>
      <c r="B23" s="9" t="s">
        <v>132</v>
      </c>
      <c r="C23" s="11" t="s">
        <v>133</v>
      </c>
      <c r="D23" s="9" t="s">
        <v>134</v>
      </c>
      <c r="E23" s="9" t="s">
        <v>135</v>
      </c>
      <c r="F23" s="9">
        <v>4.28</v>
      </c>
      <c r="G23" s="10">
        <v>19</v>
      </c>
      <c r="H23" s="9">
        <v>2.59</v>
      </c>
      <c r="I23" s="10">
        <v>23</v>
      </c>
      <c r="J23" s="9" t="s">
        <v>136</v>
      </c>
      <c r="K23" s="9" t="s">
        <v>137</v>
      </c>
      <c r="L23" s="9" t="s">
        <v>138</v>
      </c>
      <c r="M23" s="9" t="s">
        <v>20</v>
      </c>
    </row>
    <row r="24" spans="1:13" ht="57.95">
      <c r="A24" s="10">
        <v>31282090</v>
      </c>
      <c r="B24" s="9" t="s">
        <v>132</v>
      </c>
      <c r="C24" s="11" t="s">
        <v>133</v>
      </c>
      <c r="D24" s="9" t="s">
        <v>134</v>
      </c>
      <c r="E24" s="9" t="s">
        <v>135</v>
      </c>
      <c r="F24" s="9">
        <v>4.28</v>
      </c>
      <c r="G24" s="10">
        <v>19</v>
      </c>
      <c r="H24" s="9">
        <v>2.59</v>
      </c>
      <c r="I24" s="10">
        <v>23</v>
      </c>
      <c r="J24" s="9" t="s">
        <v>136</v>
      </c>
      <c r="K24" s="9" t="s">
        <v>137</v>
      </c>
      <c r="L24" s="9" t="s">
        <v>17</v>
      </c>
      <c r="M24" s="9" t="s">
        <v>20</v>
      </c>
    </row>
    <row r="25" spans="1:13" ht="43.5">
      <c r="A25" s="10">
        <v>31352867</v>
      </c>
      <c r="B25" s="9" t="s">
        <v>91</v>
      </c>
      <c r="C25" s="11" t="s">
        <v>139</v>
      </c>
      <c r="D25" s="9" t="s">
        <v>140</v>
      </c>
      <c r="E25" s="9" t="s">
        <v>141</v>
      </c>
      <c r="F25" s="9">
        <v>1.859</v>
      </c>
      <c r="G25" s="10">
        <v>19</v>
      </c>
      <c r="H25" s="9">
        <v>0.38</v>
      </c>
      <c r="I25" s="10">
        <v>4</v>
      </c>
      <c r="J25" s="9" t="s">
        <v>109</v>
      </c>
      <c r="K25" s="9" t="s">
        <v>110</v>
      </c>
      <c r="L25" s="9" t="s">
        <v>13</v>
      </c>
      <c r="M25" s="9" t="s">
        <v>16</v>
      </c>
    </row>
    <row r="26" spans="1:13">
      <c r="A26" s="10">
        <v>31378302</v>
      </c>
      <c r="B26" s="9" t="s">
        <v>132</v>
      </c>
      <c r="C26" s="11" t="s">
        <v>142</v>
      </c>
      <c r="D26" s="9" t="s">
        <v>143</v>
      </c>
      <c r="E26" s="9" t="s">
        <v>144</v>
      </c>
      <c r="F26" s="9" t="s">
        <v>108</v>
      </c>
      <c r="G26" s="10">
        <v>19</v>
      </c>
      <c r="H26" s="9">
        <v>2.82</v>
      </c>
      <c r="I26" s="10">
        <v>32</v>
      </c>
      <c r="J26" s="9" t="s">
        <v>136</v>
      </c>
      <c r="K26" s="9" t="s">
        <v>137</v>
      </c>
      <c r="L26" s="9" t="s">
        <v>17</v>
      </c>
      <c r="M26" s="9" t="s">
        <v>20</v>
      </c>
    </row>
    <row r="27" spans="1:13">
      <c r="A27" s="10">
        <v>31378302</v>
      </c>
      <c r="B27" s="9" t="s">
        <v>132</v>
      </c>
      <c r="C27" s="11" t="s">
        <v>142</v>
      </c>
      <c r="D27" s="9" t="s">
        <v>143</v>
      </c>
      <c r="E27" s="9" t="s">
        <v>144</v>
      </c>
      <c r="F27" s="9" t="s">
        <v>108</v>
      </c>
      <c r="G27" s="10">
        <v>19</v>
      </c>
      <c r="H27" s="9">
        <v>2.82</v>
      </c>
      <c r="I27" s="10">
        <v>32</v>
      </c>
      <c r="J27" s="9" t="s">
        <v>136</v>
      </c>
      <c r="K27" s="9" t="s">
        <v>137</v>
      </c>
      <c r="L27" s="9" t="s">
        <v>138</v>
      </c>
      <c r="M27" s="9" t="s">
        <v>20</v>
      </c>
    </row>
    <row r="28" spans="1:13" ht="43.5">
      <c r="A28" s="10">
        <v>31473161</v>
      </c>
      <c r="B28" s="9" t="s">
        <v>91</v>
      </c>
      <c r="C28" s="11" t="s">
        <v>145</v>
      </c>
      <c r="D28" s="9" t="s">
        <v>146</v>
      </c>
      <c r="E28" s="9" t="s">
        <v>147</v>
      </c>
      <c r="F28" s="9">
        <v>3.2629999999999999</v>
      </c>
      <c r="G28" s="10">
        <v>19</v>
      </c>
      <c r="H28" s="9">
        <v>0.44</v>
      </c>
      <c r="I28" s="10">
        <v>5</v>
      </c>
      <c r="J28" s="9" t="s">
        <v>95</v>
      </c>
      <c r="K28" s="9" t="s">
        <v>96</v>
      </c>
      <c r="L28" s="9" t="s">
        <v>97</v>
      </c>
      <c r="M28" s="9" t="s">
        <v>98</v>
      </c>
    </row>
    <row r="29" spans="1:13" ht="57.95">
      <c r="A29" s="10">
        <v>31660473</v>
      </c>
      <c r="B29" s="9" t="s">
        <v>91</v>
      </c>
      <c r="C29" s="11" t="s">
        <v>148</v>
      </c>
      <c r="D29" s="9" t="s">
        <v>149</v>
      </c>
      <c r="E29" s="9" t="s">
        <v>150</v>
      </c>
      <c r="F29" s="9" t="s">
        <v>108</v>
      </c>
      <c r="G29" s="10">
        <v>19</v>
      </c>
      <c r="H29" s="9">
        <v>1.19</v>
      </c>
      <c r="I29" s="10">
        <v>15</v>
      </c>
      <c r="J29" s="9" t="s">
        <v>151</v>
      </c>
      <c r="K29" s="9" t="s">
        <v>152</v>
      </c>
      <c r="L29" s="9" t="s">
        <v>153</v>
      </c>
      <c r="M29" s="9" t="s">
        <v>154</v>
      </c>
    </row>
    <row r="30" spans="1:13">
      <c r="A30" s="10">
        <v>31680894</v>
      </c>
      <c r="B30" s="9" t="s">
        <v>91</v>
      </c>
      <c r="C30" s="11" t="s">
        <v>155</v>
      </c>
      <c r="D30" s="9" t="s">
        <v>156</v>
      </c>
      <c r="E30" s="9" t="s">
        <v>122</v>
      </c>
      <c r="F30" s="9">
        <v>2.512</v>
      </c>
      <c r="G30" s="10">
        <v>19</v>
      </c>
      <c r="H30" s="9">
        <v>0</v>
      </c>
      <c r="I30" s="10" t="s">
        <v>108</v>
      </c>
      <c r="J30" s="9" t="s">
        <v>95</v>
      </c>
      <c r="K30" s="9" t="s">
        <v>96</v>
      </c>
      <c r="L30" s="9" t="s">
        <v>97</v>
      </c>
      <c r="M30" s="9" t="s">
        <v>98</v>
      </c>
    </row>
    <row r="31" spans="1:13" ht="57.95">
      <c r="A31" s="10">
        <v>31733097</v>
      </c>
      <c r="B31" s="9" t="s">
        <v>132</v>
      </c>
      <c r="C31" s="11" t="s">
        <v>157</v>
      </c>
      <c r="D31" s="9" t="s">
        <v>158</v>
      </c>
      <c r="E31" s="9" t="s">
        <v>135</v>
      </c>
      <c r="F31" s="9">
        <v>4.28</v>
      </c>
      <c r="G31" s="10">
        <v>19</v>
      </c>
      <c r="H31" s="9">
        <v>1.05</v>
      </c>
      <c r="I31" s="10">
        <v>11</v>
      </c>
      <c r="J31" s="9" t="s">
        <v>136</v>
      </c>
      <c r="K31" s="9" t="s">
        <v>137</v>
      </c>
      <c r="L31" s="9" t="s">
        <v>138</v>
      </c>
      <c r="M31" s="9" t="s">
        <v>20</v>
      </c>
    </row>
    <row r="32" spans="1:13" ht="57.95">
      <c r="A32" s="10">
        <v>31733097</v>
      </c>
      <c r="B32" s="9" t="s">
        <v>132</v>
      </c>
      <c r="C32" s="11" t="s">
        <v>157</v>
      </c>
      <c r="D32" s="9" t="s">
        <v>158</v>
      </c>
      <c r="E32" s="9" t="s">
        <v>135</v>
      </c>
      <c r="F32" s="9">
        <v>4.28</v>
      </c>
      <c r="G32" s="10">
        <v>19</v>
      </c>
      <c r="H32" s="9">
        <v>1.05</v>
      </c>
      <c r="I32" s="10">
        <v>11</v>
      </c>
      <c r="J32" s="9" t="s">
        <v>136</v>
      </c>
      <c r="K32" s="9" t="s">
        <v>137</v>
      </c>
      <c r="L32" s="9" t="s">
        <v>17</v>
      </c>
      <c r="M32" s="9" t="s">
        <v>20</v>
      </c>
    </row>
    <row r="33" spans="1:13" ht="29.1">
      <c r="A33" s="10">
        <v>31849622</v>
      </c>
      <c r="B33" s="9" t="s">
        <v>91</v>
      </c>
      <c r="C33" s="11" t="s">
        <v>159</v>
      </c>
      <c r="D33" s="9" t="s">
        <v>160</v>
      </c>
      <c r="E33" s="9" t="s">
        <v>122</v>
      </c>
      <c r="F33" s="9">
        <v>2.512</v>
      </c>
      <c r="G33" s="10">
        <v>19</v>
      </c>
      <c r="H33" s="9">
        <v>5.71</v>
      </c>
      <c r="I33" s="10">
        <v>67</v>
      </c>
      <c r="J33" s="9" t="s">
        <v>136</v>
      </c>
      <c r="K33" s="9" t="s">
        <v>137</v>
      </c>
      <c r="L33" s="9" t="s">
        <v>138</v>
      </c>
      <c r="M33" s="9" t="s">
        <v>20</v>
      </c>
    </row>
    <row r="34" spans="1:13" ht="29.1">
      <c r="A34" s="10">
        <v>31849622</v>
      </c>
      <c r="B34" s="9" t="s">
        <v>91</v>
      </c>
      <c r="C34" s="11" t="s">
        <v>159</v>
      </c>
      <c r="D34" s="9" t="s">
        <v>160</v>
      </c>
      <c r="E34" s="9" t="s">
        <v>122</v>
      </c>
      <c r="F34" s="9">
        <v>2.512</v>
      </c>
      <c r="G34" s="10">
        <v>19</v>
      </c>
      <c r="H34" s="9">
        <v>5.71</v>
      </c>
      <c r="I34" s="10">
        <v>67</v>
      </c>
      <c r="J34" s="9" t="s">
        <v>136</v>
      </c>
      <c r="K34" s="9" t="s">
        <v>137</v>
      </c>
      <c r="L34" s="9" t="s">
        <v>17</v>
      </c>
      <c r="M34" s="9" t="s">
        <v>20</v>
      </c>
    </row>
    <row r="35" spans="1:13" ht="43.5">
      <c r="A35" s="10">
        <v>32049028</v>
      </c>
      <c r="B35" s="9" t="s">
        <v>132</v>
      </c>
      <c r="C35" s="11" t="s">
        <v>161</v>
      </c>
      <c r="D35" s="9" t="s">
        <v>162</v>
      </c>
      <c r="E35" s="9" t="s">
        <v>104</v>
      </c>
      <c r="F35" s="9">
        <v>9.423</v>
      </c>
      <c r="G35" s="10">
        <v>19</v>
      </c>
      <c r="H35" s="9">
        <v>3.33</v>
      </c>
      <c r="I35" s="10">
        <v>41</v>
      </c>
      <c r="J35" s="9" t="s">
        <v>136</v>
      </c>
      <c r="K35" s="9" t="s">
        <v>137</v>
      </c>
      <c r="L35" s="9" t="s">
        <v>138</v>
      </c>
      <c r="M35" s="9" t="s">
        <v>20</v>
      </c>
    </row>
    <row r="36" spans="1:13" ht="43.5">
      <c r="A36" s="10">
        <v>32049028</v>
      </c>
      <c r="B36" s="9" t="s">
        <v>132</v>
      </c>
      <c r="C36" s="11" t="s">
        <v>161</v>
      </c>
      <c r="D36" s="9" t="s">
        <v>162</v>
      </c>
      <c r="E36" s="9" t="s">
        <v>104</v>
      </c>
      <c r="F36" s="9">
        <v>9.423</v>
      </c>
      <c r="G36" s="10">
        <v>19</v>
      </c>
      <c r="H36" s="9">
        <v>3.33</v>
      </c>
      <c r="I36" s="10">
        <v>41</v>
      </c>
      <c r="J36" s="9" t="s">
        <v>136</v>
      </c>
      <c r="K36" s="9" t="s">
        <v>137</v>
      </c>
      <c r="L36" s="9" t="s">
        <v>17</v>
      </c>
      <c r="M36" s="9" t="s">
        <v>20</v>
      </c>
    </row>
    <row r="37" spans="1:13" ht="57.95">
      <c r="A37" s="10">
        <v>32087337</v>
      </c>
      <c r="B37" s="9" t="s">
        <v>132</v>
      </c>
      <c r="C37" s="11" t="s">
        <v>163</v>
      </c>
      <c r="D37" s="9" t="s">
        <v>164</v>
      </c>
      <c r="E37" s="9" t="s">
        <v>165</v>
      </c>
      <c r="F37" s="9">
        <v>2.226</v>
      </c>
      <c r="G37" s="10">
        <v>19</v>
      </c>
      <c r="H37" s="9">
        <v>1.2</v>
      </c>
      <c r="I37" s="10">
        <v>12</v>
      </c>
      <c r="J37" s="9" t="s">
        <v>136</v>
      </c>
      <c r="K37" s="9" t="s">
        <v>137</v>
      </c>
      <c r="L37" s="9" t="s">
        <v>138</v>
      </c>
      <c r="M37" s="9" t="s">
        <v>20</v>
      </c>
    </row>
    <row r="38" spans="1:13" ht="57.95">
      <c r="A38" s="10">
        <v>32087337</v>
      </c>
      <c r="B38" s="9" t="s">
        <v>132</v>
      </c>
      <c r="C38" s="11" t="s">
        <v>163</v>
      </c>
      <c r="D38" s="9" t="s">
        <v>164</v>
      </c>
      <c r="E38" s="9" t="s">
        <v>165</v>
      </c>
      <c r="F38" s="9">
        <v>2.226</v>
      </c>
      <c r="G38" s="10">
        <v>19</v>
      </c>
      <c r="H38" s="9">
        <v>1.2</v>
      </c>
      <c r="I38" s="10">
        <v>12</v>
      </c>
      <c r="J38" s="9" t="s">
        <v>136</v>
      </c>
      <c r="K38" s="9" t="s">
        <v>137</v>
      </c>
      <c r="L38" s="9" t="s">
        <v>17</v>
      </c>
      <c r="M38" s="9" t="s">
        <v>20</v>
      </c>
    </row>
    <row r="39" spans="1:13" ht="43.5">
      <c r="A39" s="10">
        <v>32125483</v>
      </c>
      <c r="B39" s="9" t="s">
        <v>132</v>
      </c>
      <c r="C39" s="11" t="s">
        <v>166</v>
      </c>
      <c r="D39" s="9" t="s">
        <v>167</v>
      </c>
      <c r="E39" s="9" t="s">
        <v>168</v>
      </c>
      <c r="F39" s="9" t="s">
        <v>108</v>
      </c>
      <c r="G39" s="10">
        <v>19</v>
      </c>
      <c r="H39" s="9">
        <v>1.19</v>
      </c>
      <c r="I39" s="10">
        <v>11</v>
      </c>
      <c r="J39" s="9" t="s">
        <v>136</v>
      </c>
      <c r="K39" s="9" t="s">
        <v>137</v>
      </c>
      <c r="L39" s="9" t="s">
        <v>138</v>
      </c>
      <c r="M39" s="9" t="s">
        <v>20</v>
      </c>
    </row>
    <row r="40" spans="1:13" ht="43.5">
      <c r="A40" s="10">
        <v>32125483</v>
      </c>
      <c r="B40" s="9" t="s">
        <v>132</v>
      </c>
      <c r="C40" s="11" t="s">
        <v>166</v>
      </c>
      <c r="D40" s="9" t="s">
        <v>167</v>
      </c>
      <c r="E40" s="9" t="s">
        <v>168</v>
      </c>
      <c r="F40" s="9" t="s">
        <v>108</v>
      </c>
      <c r="G40" s="10">
        <v>19</v>
      </c>
      <c r="H40" s="9">
        <v>1.19</v>
      </c>
      <c r="I40" s="10">
        <v>11</v>
      </c>
      <c r="J40" s="9" t="s">
        <v>136</v>
      </c>
      <c r="K40" s="9" t="s">
        <v>137</v>
      </c>
      <c r="L40" s="9" t="s">
        <v>17</v>
      </c>
      <c r="M40" s="9" t="s">
        <v>20</v>
      </c>
    </row>
    <row r="41" spans="1:13" ht="43.5">
      <c r="A41" s="10">
        <v>32694985</v>
      </c>
      <c r="B41" s="9" t="s">
        <v>132</v>
      </c>
      <c r="C41" s="11" t="s">
        <v>169</v>
      </c>
      <c r="D41" s="9" t="s">
        <v>170</v>
      </c>
      <c r="E41" s="9" t="s">
        <v>122</v>
      </c>
      <c r="F41" s="9">
        <v>3.5579999999999998</v>
      </c>
      <c r="G41" s="10">
        <v>19</v>
      </c>
      <c r="H41" s="9">
        <v>0.63</v>
      </c>
      <c r="I41" s="10">
        <v>6</v>
      </c>
      <c r="J41" s="9" t="s">
        <v>125</v>
      </c>
      <c r="K41" s="9" t="s">
        <v>126</v>
      </c>
      <c r="L41" s="9" t="s">
        <v>127</v>
      </c>
      <c r="M41" s="9" t="s">
        <v>128</v>
      </c>
    </row>
    <row r="42" spans="1:13" ht="29.1">
      <c r="A42" s="10">
        <v>32776315</v>
      </c>
      <c r="B42" s="9" t="s">
        <v>132</v>
      </c>
      <c r="C42" s="11" t="s">
        <v>171</v>
      </c>
      <c r="D42" s="9" t="s">
        <v>172</v>
      </c>
      <c r="E42" s="9" t="s">
        <v>173</v>
      </c>
      <c r="F42" s="9">
        <v>9.5459999999999994</v>
      </c>
      <c r="G42" s="10">
        <v>19</v>
      </c>
      <c r="H42" s="9">
        <v>0.42</v>
      </c>
      <c r="I42" s="10">
        <v>4</v>
      </c>
      <c r="J42" s="9" t="s">
        <v>136</v>
      </c>
      <c r="K42" s="9" t="s">
        <v>137</v>
      </c>
      <c r="L42" s="9" t="s">
        <v>138</v>
      </c>
      <c r="M42" s="9" t="s">
        <v>20</v>
      </c>
    </row>
    <row r="43" spans="1:13" ht="29.1">
      <c r="A43" s="10">
        <v>32776315</v>
      </c>
      <c r="B43" s="9" t="s">
        <v>132</v>
      </c>
      <c r="C43" s="11" t="s">
        <v>171</v>
      </c>
      <c r="D43" s="9" t="s">
        <v>172</v>
      </c>
      <c r="E43" s="9" t="s">
        <v>173</v>
      </c>
      <c r="F43" s="9">
        <v>9.5459999999999994</v>
      </c>
      <c r="G43" s="10">
        <v>19</v>
      </c>
      <c r="H43" s="9">
        <v>0.42</v>
      </c>
      <c r="I43" s="10">
        <v>4</v>
      </c>
      <c r="J43" s="9" t="s">
        <v>136</v>
      </c>
      <c r="K43" s="9" t="s">
        <v>137</v>
      </c>
      <c r="L43" s="9" t="s">
        <v>17</v>
      </c>
      <c r="M43" s="9" t="s">
        <v>20</v>
      </c>
    </row>
    <row r="44" spans="1:13" ht="29.1">
      <c r="A44" s="10">
        <v>32862045</v>
      </c>
      <c r="B44" s="9" t="s">
        <v>174</v>
      </c>
      <c r="C44" s="11" t="s">
        <v>175</v>
      </c>
      <c r="D44" s="9" t="s">
        <v>176</v>
      </c>
      <c r="E44" s="9" t="s">
        <v>177</v>
      </c>
      <c r="F44" s="9">
        <v>5.5469999999999997</v>
      </c>
      <c r="G44" s="10">
        <v>19</v>
      </c>
      <c r="H44" s="9">
        <v>3</v>
      </c>
      <c r="I44" s="10">
        <v>22</v>
      </c>
      <c r="J44" s="9" t="s">
        <v>136</v>
      </c>
      <c r="K44" s="9" t="s">
        <v>137</v>
      </c>
      <c r="L44" s="9" t="s">
        <v>138</v>
      </c>
      <c r="M44" s="9" t="s">
        <v>20</v>
      </c>
    </row>
    <row r="45" spans="1:13" ht="29.1">
      <c r="A45" s="10">
        <v>32862045</v>
      </c>
      <c r="B45" s="9" t="s">
        <v>174</v>
      </c>
      <c r="C45" s="11" t="s">
        <v>175</v>
      </c>
      <c r="D45" s="9" t="s">
        <v>176</v>
      </c>
      <c r="E45" s="9" t="s">
        <v>177</v>
      </c>
      <c r="F45" s="9">
        <v>5.5469999999999997</v>
      </c>
      <c r="G45" s="10">
        <v>19</v>
      </c>
      <c r="H45" s="9">
        <v>3</v>
      </c>
      <c r="I45" s="10">
        <v>22</v>
      </c>
      <c r="J45" s="9" t="s">
        <v>136</v>
      </c>
      <c r="K45" s="9" t="s">
        <v>137</v>
      </c>
      <c r="L45" s="9" t="s">
        <v>17</v>
      </c>
      <c r="M45" s="9" t="s">
        <v>20</v>
      </c>
    </row>
    <row r="46" spans="1:13" ht="57.95">
      <c r="A46" s="10">
        <v>33087769</v>
      </c>
      <c r="B46" s="9" t="s">
        <v>132</v>
      </c>
      <c r="C46" s="11" t="s">
        <v>178</v>
      </c>
      <c r="D46" s="9" t="s">
        <v>179</v>
      </c>
      <c r="E46" s="9" t="s">
        <v>180</v>
      </c>
      <c r="F46" s="9">
        <v>4.3789999999999996</v>
      </c>
      <c r="G46" s="10">
        <v>19</v>
      </c>
      <c r="H46" s="9">
        <v>1.06</v>
      </c>
      <c r="I46" s="10">
        <v>11</v>
      </c>
      <c r="J46" s="9" t="s">
        <v>95</v>
      </c>
      <c r="K46" s="9" t="s">
        <v>96</v>
      </c>
      <c r="L46" s="9" t="s">
        <v>97</v>
      </c>
      <c r="M46" s="9" t="s">
        <v>98</v>
      </c>
    </row>
    <row r="47" spans="1:13" ht="29.1">
      <c r="A47" s="10">
        <v>33420731</v>
      </c>
      <c r="B47" s="9" t="s">
        <v>174</v>
      </c>
      <c r="C47" s="11" t="s">
        <v>181</v>
      </c>
      <c r="D47" s="9" t="s">
        <v>182</v>
      </c>
      <c r="E47" s="9" t="s">
        <v>183</v>
      </c>
      <c r="F47" s="9">
        <v>5.3719999999999999</v>
      </c>
      <c r="G47" s="10">
        <v>19</v>
      </c>
      <c r="H47" s="9">
        <v>2.4300000000000002</v>
      </c>
      <c r="I47" s="10">
        <v>18</v>
      </c>
      <c r="J47" s="9" t="s">
        <v>136</v>
      </c>
      <c r="K47" s="9" t="s">
        <v>137</v>
      </c>
      <c r="L47" s="9" t="s">
        <v>138</v>
      </c>
      <c r="M47" s="9" t="s">
        <v>20</v>
      </c>
    </row>
    <row r="48" spans="1:13" ht="29.1">
      <c r="A48" s="10">
        <v>33420731</v>
      </c>
      <c r="B48" s="9" t="s">
        <v>174</v>
      </c>
      <c r="C48" s="11" t="s">
        <v>181</v>
      </c>
      <c r="D48" s="9" t="s">
        <v>182</v>
      </c>
      <c r="E48" s="9" t="s">
        <v>183</v>
      </c>
      <c r="F48" s="9">
        <v>5.3719999999999999</v>
      </c>
      <c r="G48" s="10">
        <v>19</v>
      </c>
      <c r="H48" s="9">
        <v>2.4300000000000002</v>
      </c>
      <c r="I48" s="10">
        <v>18</v>
      </c>
      <c r="J48" s="9" t="s">
        <v>136</v>
      </c>
      <c r="K48" s="9" t="s">
        <v>137</v>
      </c>
      <c r="L48" s="9" t="s">
        <v>17</v>
      </c>
      <c r="M48" s="9" t="s">
        <v>20</v>
      </c>
    </row>
    <row r="49" spans="1:13" ht="43.5">
      <c r="A49" s="10">
        <v>33440142</v>
      </c>
      <c r="B49" s="9" t="s">
        <v>174</v>
      </c>
      <c r="C49" s="11" t="s">
        <v>184</v>
      </c>
      <c r="D49" s="9" t="s">
        <v>185</v>
      </c>
      <c r="E49" s="9" t="s">
        <v>104</v>
      </c>
      <c r="F49" s="9">
        <v>9.423</v>
      </c>
      <c r="G49" s="10">
        <v>19</v>
      </c>
      <c r="H49" s="9">
        <v>2.41</v>
      </c>
      <c r="I49" s="10">
        <v>19</v>
      </c>
      <c r="J49" s="9" t="s">
        <v>64</v>
      </c>
      <c r="K49" s="9" t="s">
        <v>65</v>
      </c>
      <c r="L49" s="9" t="s">
        <v>66</v>
      </c>
      <c r="M49" s="9" t="s">
        <v>67</v>
      </c>
    </row>
    <row r="50" spans="1:13" ht="43.5">
      <c r="A50" s="10">
        <v>33440142</v>
      </c>
      <c r="B50" s="9" t="s">
        <v>174</v>
      </c>
      <c r="C50" s="11" t="s">
        <v>184</v>
      </c>
      <c r="D50" s="9" t="s">
        <v>185</v>
      </c>
      <c r="E50" s="9" t="s">
        <v>104</v>
      </c>
      <c r="F50" s="9">
        <v>9.423</v>
      </c>
      <c r="G50" s="10">
        <v>19</v>
      </c>
      <c r="H50" s="9">
        <v>2.41</v>
      </c>
      <c r="I50" s="10">
        <v>19</v>
      </c>
      <c r="J50" s="9" t="s">
        <v>64</v>
      </c>
      <c r="K50" s="9" t="s">
        <v>65</v>
      </c>
      <c r="L50" s="9" t="s">
        <v>68</v>
      </c>
      <c r="M50" s="9" t="s">
        <v>69</v>
      </c>
    </row>
    <row r="51" spans="1:13" ht="57.95">
      <c r="A51" s="10">
        <v>33579535</v>
      </c>
      <c r="B51" s="9" t="s">
        <v>174</v>
      </c>
      <c r="C51" s="11" t="s">
        <v>186</v>
      </c>
      <c r="D51" s="9" t="s">
        <v>187</v>
      </c>
      <c r="E51" s="9" t="s">
        <v>144</v>
      </c>
      <c r="F51" s="9" t="s">
        <v>108</v>
      </c>
      <c r="G51" s="10">
        <v>19</v>
      </c>
      <c r="H51" s="9">
        <v>2.64</v>
      </c>
      <c r="I51" s="10">
        <v>19</v>
      </c>
      <c r="J51" s="9" t="s">
        <v>136</v>
      </c>
      <c r="K51" s="9" t="s">
        <v>137</v>
      </c>
      <c r="L51" s="9" t="s">
        <v>138</v>
      </c>
      <c r="M51" s="9" t="s">
        <v>20</v>
      </c>
    </row>
    <row r="52" spans="1:13" ht="57.95">
      <c r="A52" s="10">
        <v>33579535</v>
      </c>
      <c r="B52" s="9" t="s">
        <v>174</v>
      </c>
      <c r="C52" s="11" t="s">
        <v>186</v>
      </c>
      <c r="D52" s="9" t="s">
        <v>187</v>
      </c>
      <c r="E52" s="9" t="s">
        <v>144</v>
      </c>
      <c r="F52" s="9" t="s">
        <v>108</v>
      </c>
      <c r="G52" s="10">
        <v>19</v>
      </c>
      <c r="H52" s="9">
        <v>2.64</v>
      </c>
      <c r="I52" s="10">
        <v>19</v>
      </c>
      <c r="J52" s="9" t="s">
        <v>136</v>
      </c>
      <c r="K52" s="9" t="s">
        <v>137</v>
      </c>
      <c r="L52" s="9" t="s">
        <v>17</v>
      </c>
      <c r="M52" s="9" t="s">
        <v>20</v>
      </c>
    </row>
    <row r="53" spans="1:13" ht="57.95">
      <c r="A53" s="10">
        <v>33614952</v>
      </c>
      <c r="B53" s="9" t="s">
        <v>174</v>
      </c>
      <c r="C53" s="11" t="s">
        <v>188</v>
      </c>
      <c r="D53" s="9" t="s">
        <v>189</v>
      </c>
      <c r="E53" s="9" t="s">
        <v>190</v>
      </c>
      <c r="F53" s="9">
        <v>5.7640000000000002</v>
      </c>
      <c r="G53" s="10">
        <v>19</v>
      </c>
      <c r="H53" s="9">
        <v>0.52</v>
      </c>
      <c r="I53" s="10">
        <v>3</v>
      </c>
      <c r="J53" s="9" t="s">
        <v>80</v>
      </c>
      <c r="K53" s="9" t="s">
        <v>81</v>
      </c>
      <c r="L53" s="9" t="s">
        <v>82</v>
      </c>
      <c r="M53" s="9" t="s">
        <v>83</v>
      </c>
    </row>
    <row r="54" spans="1:13" ht="57.95">
      <c r="A54" s="10">
        <v>33917316</v>
      </c>
      <c r="B54" s="9" t="s">
        <v>174</v>
      </c>
      <c r="C54" s="11" t="s">
        <v>191</v>
      </c>
      <c r="D54" s="9" t="s">
        <v>192</v>
      </c>
      <c r="E54" s="9" t="s">
        <v>193</v>
      </c>
      <c r="F54" s="9">
        <v>4.4109999999999996</v>
      </c>
      <c r="G54" s="10">
        <v>19</v>
      </c>
      <c r="H54" s="9">
        <v>0.82</v>
      </c>
      <c r="I54" s="10">
        <v>5</v>
      </c>
      <c r="J54" s="9" t="s">
        <v>125</v>
      </c>
      <c r="K54" s="9" t="s">
        <v>126</v>
      </c>
      <c r="L54" s="9" t="s">
        <v>127</v>
      </c>
      <c r="M54" s="9" t="s">
        <v>128</v>
      </c>
    </row>
    <row r="55" spans="1:13" ht="87">
      <c r="A55" s="10">
        <v>33998887</v>
      </c>
      <c r="B55" s="9" t="s">
        <v>194</v>
      </c>
      <c r="C55" s="11" t="s">
        <v>195</v>
      </c>
      <c r="D55" s="9" t="s">
        <v>196</v>
      </c>
      <c r="E55" s="9" t="s">
        <v>190</v>
      </c>
      <c r="F55" s="9" t="s">
        <v>108</v>
      </c>
      <c r="G55" s="10">
        <v>19</v>
      </c>
      <c r="H55" s="9">
        <v>0.94</v>
      </c>
      <c r="I55" s="10">
        <v>2</v>
      </c>
      <c r="J55" s="9" t="s">
        <v>80</v>
      </c>
      <c r="K55" s="9" t="s">
        <v>81</v>
      </c>
      <c r="L55" s="9" t="s">
        <v>82</v>
      </c>
      <c r="M55" s="9" t="s">
        <v>83</v>
      </c>
    </row>
    <row r="56" spans="1:13" ht="43.5">
      <c r="A56" s="10">
        <v>34381929</v>
      </c>
      <c r="B56" s="9" t="s">
        <v>174</v>
      </c>
      <c r="C56" s="11" t="s">
        <v>197</v>
      </c>
      <c r="D56" s="9" t="s">
        <v>198</v>
      </c>
      <c r="E56" s="9" t="s">
        <v>199</v>
      </c>
      <c r="F56" s="9" t="s">
        <v>108</v>
      </c>
      <c r="G56" s="10">
        <v>19</v>
      </c>
      <c r="H56" s="9">
        <v>0.52</v>
      </c>
      <c r="I56" s="10">
        <v>3</v>
      </c>
      <c r="J56" s="9" t="s">
        <v>200</v>
      </c>
      <c r="K56" s="9" t="s">
        <v>201</v>
      </c>
      <c r="L56" s="9" t="s">
        <v>202</v>
      </c>
      <c r="M56" s="9" t="s">
        <v>203</v>
      </c>
    </row>
    <row r="57" spans="1:13" ht="43.5">
      <c r="A57" s="10">
        <v>34628096</v>
      </c>
      <c r="B57" s="9" t="s">
        <v>174</v>
      </c>
      <c r="C57" s="11" t="s">
        <v>204</v>
      </c>
      <c r="D57" s="9" t="s">
        <v>205</v>
      </c>
      <c r="E57" s="9" t="s">
        <v>206</v>
      </c>
      <c r="F57" s="9" t="s">
        <v>108</v>
      </c>
      <c r="G57" s="10">
        <v>19</v>
      </c>
      <c r="H57" s="9">
        <v>2.66</v>
      </c>
      <c r="I57" s="10">
        <v>15</v>
      </c>
      <c r="J57" s="9" t="s">
        <v>95</v>
      </c>
      <c r="K57" s="9" t="s">
        <v>96</v>
      </c>
      <c r="L57" s="9" t="s">
        <v>97</v>
      </c>
      <c r="M57" s="9" t="s">
        <v>98</v>
      </c>
    </row>
    <row r="58" spans="1:13" ht="29.1">
      <c r="A58" s="10">
        <v>34753604</v>
      </c>
      <c r="B58" s="9" t="s">
        <v>194</v>
      </c>
      <c r="C58" s="11" t="s">
        <v>207</v>
      </c>
      <c r="D58" s="9" t="s">
        <v>208</v>
      </c>
      <c r="E58" s="9" t="s">
        <v>209</v>
      </c>
      <c r="F58" s="9">
        <v>14.819000000000001</v>
      </c>
      <c r="G58" s="10">
        <v>19</v>
      </c>
      <c r="H58" s="9">
        <v>1.1599999999999999</v>
      </c>
      <c r="I58" s="10">
        <v>5</v>
      </c>
      <c r="J58" s="9" t="s">
        <v>136</v>
      </c>
      <c r="K58" s="9" t="s">
        <v>137</v>
      </c>
      <c r="L58" s="9" t="s">
        <v>138</v>
      </c>
      <c r="M58" s="9" t="s">
        <v>20</v>
      </c>
    </row>
    <row r="59" spans="1:13" ht="29.1">
      <c r="A59" s="10">
        <v>34753604</v>
      </c>
      <c r="B59" s="9" t="s">
        <v>194</v>
      </c>
      <c r="C59" s="11" t="s">
        <v>207</v>
      </c>
      <c r="D59" s="9" t="s">
        <v>208</v>
      </c>
      <c r="E59" s="9" t="s">
        <v>209</v>
      </c>
      <c r="F59" s="9">
        <v>14.819000000000001</v>
      </c>
      <c r="G59" s="10">
        <v>19</v>
      </c>
      <c r="H59" s="9">
        <v>1.1599999999999999</v>
      </c>
      <c r="I59" s="10">
        <v>5</v>
      </c>
      <c r="J59" s="9" t="s">
        <v>136</v>
      </c>
      <c r="K59" s="9" t="s">
        <v>137</v>
      </c>
      <c r="L59" s="9" t="s">
        <v>17</v>
      </c>
      <c r="M59" s="9" t="s">
        <v>20</v>
      </c>
    </row>
    <row r="60" spans="1:13" ht="43.5">
      <c r="A60" s="10">
        <v>35037175</v>
      </c>
      <c r="B60" s="9" t="s">
        <v>194</v>
      </c>
      <c r="C60" s="11" t="s">
        <v>210</v>
      </c>
      <c r="D60" s="9" t="s">
        <v>211</v>
      </c>
      <c r="E60" s="9" t="s">
        <v>212</v>
      </c>
      <c r="F60" s="9">
        <v>5.1280000000000001</v>
      </c>
      <c r="G60" s="10">
        <v>19</v>
      </c>
      <c r="H60" s="9">
        <v>0</v>
      </c>
      <c r="I60" s="10" t="s">
        <v>108</v>
      </c>
      <c r="J60" s="9" t="s">
        <v>213</v>
      </c>
      <c r="K60" s="9" t="s">
        <v>214</v>
      </c>
      <c r="L60" s="9" t="s">
        <v>11</v>
      </c>
      <c r="M60" s="9" t="s">
        <v>12</v>
      </c>
    </row>
    <row r="61" spans="1:13" ht="29.1">
      <c r="A61" s="10">
        <v>35145212</v>
      </c>
      <c r="B61" s="9" t="s">
        <v>194</v>
      </c>
      <c r="C61" s="11" t="s">
        <v>215</v>
      </c>
      <c r="D61" s="9" t="s">
        <v>216</v>
      </c>
      <c r="E61" s="9" t="s">
        <v>217</v>
      </c>
      <c r="F61" s="9" t="s">
        <v>108</v>
      </c>
      <c r="G61" s="10">
        <v>19</v>
      </c>
      <c r="H61" s="9">
        <v>0</v>
      </c>
      <c r="I61" s="10" t="s">
        <v>108</v>
      </c>
      <c r="J61" s="9" t="s">
        <v>136</v>
      </c>
      <c r="K61" s="9" t="s">
        <v>137</v>
      </c>
      <c r="L61" s="9" t="s">
        <v>138</v>
      </c>
      <c r="M61" s="9" t="s">
        <v>20</v>
      </c>
    </row>
    <row r="62" spans="1:13" ht="29.1">
      <c r="A62" s="10">
        <v>35145212</v>
      </c>
      <c r="B62" s="9" t="s">
        <v>194</v>
      </c>
      <c r="C62" s="11" t="s">
        <v>215</v>
      </c>
      <c r="D62" s="9" t="s">
        <v>216</v>
      </c>
      <c r="E62" s="9" t="s">
        <v>217</v>
      </c>
      <c r="F62" s="9" t="s">
        <v>108</v>
      </c>
      <c r="G62" s="10">
        <v>19</v>
      </c>
      <c r="H62" s="9">
        <v>0</v>
      </c>
      <c r="I62" s="10" t="s">
        <v>108</v>
      </c>
      <c r="J62" s="9" t="s">
        <v>136</v>
      </c>
      <c r="K62" s="9" t="s">
        <v>137</v>
      </c>
      <c r="L62" s="9" t="s">
        <v>17</v>
      </c>
      <c r="M62" s="9" t="s">
        <v>20</v>
      </c>
    </row>
    <row r="63" spans="1:13" ht="43.5">
      <c r="A63" s="10">
        <v>35229943</v>
      </c>
      <c r="B63" s="9" t="s">
        <v>194</v>
      </c>
      <c r="C63" s="11" t="s">
        <v>218</v>
      </c>
      <c r="D63" s="9" t="s">
        <v>219</v>
      </c>
      <c r="E63" s="9" t="s">
        <v>135</v>
      </c>
      <c r="F63" s="9">
        <v>4.28</v>
      </c>
      <c r="G63" s="10">
        <v>19</v>
      </c>
      <c r="H63" s="9">
        <v>0.4</v>
      </c>
      <c r="I63" s="10">
        <v>1</v>
      </c>
      <c r="J63" s="9" t="s">
        <v>136</v>
      </c>
      <c r="K63" s="9" t="s">
        <v>137</v>
      </c>
      <c r="L63" s="9" t="s">
        <v>138</v>
      </c>
      <c r="M63" s="9" t="s">
        <v>20</v>
      </c>
    </row>
    <row r="64" spans="1:13" ht="43.5">
      <c r="A64" s="10">
        <v>35229943</v>
      </c>
      <c r="B64" s="9" t="s">
        <v>194</v>
      </c>
      <c r="C64" s="11" t="s">
        <v>218</v>
      </c>
      <c r="D64" s="9" t="s">
        <v>219</v>
      </c>
      <c r="E64" s="9" t="s">
        <v>135</v>
      </c>
      <c r="F64" s="9">
        <v>4.28</v>
      </c>
      <c r="G64" s="10">
        <v>19</v>
      </c>
      <c r="H64" s="9">
        <v>0.4</v>
      </c>
      <c r="I64" s="10">
        <v>1</v>
      </c>
      <c r="J64" s="9" t="s">
        <v>136</v>
      </c>
      <c r="K64" s="9" t="s">
        <v>137</v>
      </c>
      <c r="L64" s="9" t="s">
        <v>17</v>
      </c>
      <c r="M64" s="9" t="s">
        <v>20</v>
      </c>
    </row>
    <row r="65" spans="1:13" ht="43.5">
      <c r="A65" s="10">
        <v>35297047</v>
      </c>
      <c r="B65" s="9" t="s">
        <v>194</v>
      </c>
      <c r="C65" s="11" t="s">
        <v>220</v>
      </c>
      <c r="D65" s="9" t="s">
        <v>221</v>
      </c>
      <c r="E65" s="9" t="s">
        <v>222</v>
      </c>
      <c r="F65" s="9">
        <v>2.468</v>
      </c>
      <c r="G65" s="10">
        <v>19</v>
      </c>
      <c r="H65" s="9">
        <v>0</v>
      </c>
      <c r="I65" s="10" t="s">
        <v>108</v>
      </c>
      <c r="J65" s="9" t="s">
        <v>136</v>
      </c>
      <c r="K65" s="9" t="s">
        <v>137</v>
      </c>
      <c r="L65" s="9" t="s">
        <v>138</v>
      </c>
      <c r="M65" s="9" t="s">
        <v>20</v>
      </c>
    </row>
    <row r="66" spans="1:13" ht="43.5">
      <c r="A66" s="10">
        <v>35297047</v>
      </c>
      <c r="B66" s="9" t="s">
        <v>194</v>
      </c>
      <c r="C66" s="11" t="s">
        <v>220</v>
      </c>
      <c r="D66" s="9" t="s">
        <v>221</v>
      </c>
      <c r="E66" s="9" t="s">
        <v>222</v>
      </c>
      <c r="F66" s="9">
        <v>2.468</v>
      </c>
      <c r="G66" s="10">
        <v>19</v>
      </c>
      <c r="H66" s="9">
        <v>0</v>
      </c>
      <c r="I66" s="10" t="s">
        <v>108</v>
      </c>
      <c r="J66" s="9" t="s">
        <v>136</v>
      </c>
      <c r="K66" s="9" t="s">
        <v>137</v>
      </c>
      <c r="L66" s="9" t="s">
        <v>17</v>
      </c>
      <c r="M66" s="9" t="s">
        <v>20</v>
      </c>
    </row>
    <row r="67" spans="1:13" ht="29.1">
      <c r="A67" s="10">
        <v>35577914</v>
      </c>
      <c r="B67" s="9" t="s">
        <v>223</v>
      </c>
      <c r="C67" s="11" t="s">
        <v>224</v>
      </c>
      <c r="D67" s="9" t="s">
        <v>225</v>
      </c>
      <c r="E67" s="9" t="s">
        <v>217</v>
      </c>
      <c r="F67" s="9" t="s">
        <v>108</v>
      </c>
      <c r="G67" s="10">
        <v>19</v>
      </c>
      <c r="H67" s="9">
        <v>10.52</v>
      </c>
      <c r="I67" s="10">
        <v>21</v>
      </c>
      <c r="J67" s="9" t="s">
        <v>136</v>
      </c>
      <c r="K67" s="9" t="s">
        <v>137</v>
      </c>
      <c r="L67" s="9" t="s">
        <v>138</v>
      </c>
      <c r="M67" s="9" t="s">
        <v>20</v>
      </c>
    </row>
    <row r="68" spans="1:13" ht="29.1">
      <c r="A68" s="10">
        <v>35577914</v>
      </c>
      <c r="B68" s="9" t="s">
        <v>223</v>
      </c>
      <c r="C68" s="11" t="s">
        <v>224</v>
      </c>
      <c r="D68" s="9" t="s">
        <v>225</v>
      </c>
      <c r="E68" s="9" t="s">
        <v>217</v>
      </c>
      <c r="F68" s="9" t="s">
        <v>108</v>
      </c>
      <c r="G68" s="10">
        <v>19</v>
      </c>
      <c r="H68" s="9">
        <v>10.52</v>
      </c>
      <c r="I68" s="10">
        <v>21</v>
      </c>
      <c r="J68" s="9" t="s">
        <v>136</v>
      </c>
      <c r="K68" s="9" t="s">
        <v>137</v>
      </c>
      <c r="L68" s="9" t="s">
        <v>17</v>
      </c>
      <c r="M68" s="9" t="s">
        <v>20</v>
      </c>
    </row>
    <row r="69" spans="1:13" ht="29.1">
      <c r="A69" s="10">
        <v>35675189</v>
      </c>
      <c r="B69" s="9" t="s">
        <v>194</v>
      </c>
      <c r="C69" s="11" t="s">
        <v>226</v>
      </c>
      <c r="D69" s="9" t="s">
        <v>227</v>
      </c>
      <c r="E69" s="9" t="s">
        <v>228</v>
      </c>
      <c r="F69" s="9" t="s">
        <v>108</v>
      </c>
      <c r="G69" s="10">
        <v>19</v>
      </c>
      <c r="H69" s="9">
        <v>0</v>
      </c>
      <c r="I69" s="10" t="s">
        <v>108</v>
      </c>
      <c r="J69" s="9" t="s">
        <v>64</v>
      </c>
      <c r="K69" s="9" t="s">
        <v>65</v>
      </c>
      <c r="L69" s="9" t="s">
        <v>66</v>
      </c>
      <c r="M69" s="9" t="s">
        <v>67</v>
      </c>
    </row>
    <row r="70" spans="1:13" ht="29.1">
      <c r="A70" s="10">
        <v>35675189</v>
      </c>
      <c r="B70" s="9" t="s">
        <v>194</v>
      </c>
      <c r="C70" s="11" t="s">
        <v>226</v>
      </c>
      <c r="D70" s="9" t="s">
        <v>227</v>
      </c>
      <c r="E70" s="9" t="s">
        <v>228</v>
      </c>
      <c r="F70" s="9" t="s">
        <v>108</v>
      </c>
      <c r="G70" s="10">
        <v>19</v>
      </c>
      <c r="H70" s="9">
        <v>0</v>
      </c>
      <c r="I70" s="10" t="s">
        <v>108</v>
      </c>
      <c r="J70" s="9" t="s">
        <v>64</v>
      </c>
      <c r="K70" s="9" t="s">
        <v>65</v>
      </c>
      <c r="L70" s="9" t="s">
        <v>68</v>
      </c>
      <c r="M70" s="9" t="s">
        <v>69</v>
      </c>
    </row>
    <row r="71" spans="1:13" ht="72.599999999999994">
      <c r="A71" s="10">
        <v>35857775</v>
      </c>
      <c r="B71" s="9" t="s">
        <v>194</v>
      </c>
      <c r="C71" s="11" t="s">
        <v>229</v>
      </c>
      <c r="D71" s="9" t="s">
        <v>230</v>
      </c>
      <c r="E71" s="9" t="s">
        <v>231</v>
      </c>
      <c r="F71" s="9">
        <v>3.24</v>
      </c>
      <c r="G71" s="10">
        <v>19</v>
      </c>
      <c r="H71" s="9">
        <v>0</v>
      </c>
      <c r="I71" s="10" t="s">
        <v>108</v>
      </c>
      <c r="J71" s="9" t="s">
        <v>64</v>
      </c>
      <c r="K71" s="9" t="s">
        <v>65</v>
      </c>
      <c r="L71" s="9" t="s">
        <v>66</v>
      </c>
      <c r="M71" s="9" t="s">
        <v>67</v>
      </c>
    </row>
    <row r="72" spans="1:13" ht="72.599999999999994">
      <c r="A72" s="10">
        <v>35857775</v>
      </c>
      <c r="B72" s="9" t="s">
        <v>194</v>
      </c>
      <c r="C72" s="11" t="s">
        <v>229</v>
      </c>
      <c r="D72" s="9" t="s">
        <v>230</v>
      </c>
      <c r="E72" s="9" t="s">
        <v>231</v>
      </c>
      <c r="F72" s="9">
        <v>3.24</v>
      </c>
      <c r="G72" s="10">
        <v>19</v>
      </c>
      <c r="H72" s="9">
        <v>0</v>
      </c>
      <c r="I72" s="10" t="s">
        <v>108</v>
      </c>
      <c r="J72" s="9" t="s">
        <v>64</v>
      </c>
      <c r="K72" s="9" t="s">
        <v>65</v>
      </c>
      <c r="L72" s="9" t="s">
        <v>68</v>
      </c>
      <c r="M72" s="9" t="s">
        <v>69</v>
      </c>
    </row>
    <row r="73" spans="1:13" ht="29.1">
      <c r="A73" s="10">
        <v>35945274</v>
      </c>
      <c r="B73" s="9" t="s">
        <v>194</v>
      </c>
      <c r="C73" s="11" t="s">
        <v>232</v>
      </c>
      <c r="D73" s="9" t="s">
        <v>233</v>
      </c>
      <c r="E73" s="9" t="s">
        <v>217</v>
      </c>
      <c r="F73" s="9" t="s">
        <v>108</v>
      </c>
      <c r="G73" s="10">
        <v>19</v>
      </c>
      <c r="H73" s="9">
        <v>0.24</v>
      </c>
      <c r="I73" s="10">
        <v>1</v>
      </c>
      <c r="J73" s="9" t="s">
        <v>151</v>
      </c>
      <c r="K73" s="9" t="s">
        <v>152</v>
      </c>
      <c r="L73" s="9" t="s">
        <v>153</v>
      </c>
      <c r="M73" s="9" t="s">
        <v>154</v>
      </c>
    </row>
    <row r="74" spans="1:13" ht="29.1">
      <c r="A74" s="10">
        <v>35947652</v>
      </c>
      <c r="B74" s="9" t="s">
        <v>194</v>
      </c>
      <c r="C74" s="11" t="s">
        <v>234</v>
      </c>
      <c r="D74" s="9" t="s">
        <v>235</v>
      </c>
      <c r="E74" s="9" t="s">
        <v>236</v>
      </c>
      <c r="F74" s="9">
        <v>14.135999999999999</v>
      </c>
      <c r="G74" s="10">
        <v>19</v>
      </c>
      <c r="H74" s="9">
        <v>2.88</v>
      </c>
      <c r="I74" s="10">
        <v>11</v>
      </c>
      <c r="J74" s="9" t="s">
        <v>136</v>
      </c>
      <c r="K74" s="9" t="s">
        <v>137</v>
      </c>
      <c r="L74" s="9" t="s">
        <v>138</v>
      </c>
      <c r="M74" s="9" t="s">
        <v>20</v>
      </c>
    </row>
    <row r="75" spans="1:13" ht="29.1">
      <c r="A75" s="10">
        <v>35947652</v>
      </c>
      <c r="B75" s="9" t="s">
        <v>194</v>
      </c>
      <c r="C75" s="11" t="s">
        <v>234</v>
      </c>
      <c r="D75" s="9" t="s">
        <v>235</v>
      </c>
      <c r="E75" s="9" t="s">
        <v>236</v>
      </c>
      <c r="F75" s="9">
        <v>14.135999999999999</v>
      </c>
      <c r="G75" s="10">
        <v>19</v>
      </c>
      <c r="H75" s="9">
        <v>2.88</v>
      </c>
      <c r="I75" s="10">
        <v>11</v>
      </c>
      <c r="J75" s="9" t="s">
        <v>136</v>
      </c>
      <c r="K75" s="9" t="s">
        <v>137</v>
      </c>
      <c r="L75" s="9" t="s">
        <v>17</v>
      </c>
      <c r="M75" s="9" t="s">
        <v>20</v>
      </c>
    </row>
    <row r="76" spans="1:13" ht="57.95">
      <c r="A76" s="10">
        <v>36154489</v>
      </c>
      <c r="B76" s="9" t="s">
        <v>194</v>
      </c>
      <c r="C76" s="11" t="s">
        <v>237</v>
      </c>
      <c r="D76" s="9" t="s">
        <v>238</v>
      </c>
      <c r="E76" s="9" t="s">
        <v>239</v>
      </c>
      <c r="F76" s="9" t="s">
        <v>108</v>
      </c>
      <c r="G76" s="10">
        <v>19</v>
      </c>
      <c r="H76" s="9">
        <v>0</v>
      </c>
      <c r="I76" s="10" t="s">
        <v>108</v>
      </c>
      <c r="J76" s="9" t="s">
        <v>200</v>
      </c>
      <c r="K76" s="9" t="s">
        <v>201</v>
      </c>
      <c r="L76" s="9" t="s">
        <v>202</v>
      </c>
      <c r="M76" s="9" t="s">
        <v>203</v>
      </c>
    </row>
    <row r="77" spans="1:13" ht="57.95">
      <c r="A77" s="10">
        <v>36525274</v>
      </c>
      <c r="B77" s="9" t="s">
        <v>194</v>
      </c>
      <c r="C77" s="11" t="s">
        <v>240</v>
      </c>
      <c r="D77" s="9" t="s">
        <v>241</v>
      </c>
      <c r="E77" s="9" t="s">
        <v>242</v>
      </c>
      <c r="F77" s="9">
        <v>8.4830000000000005</v>
      </c>
      <c r="G77" s="10">
        <v>19</v>
      </c>
      <c r="H77" s="9">
        <v>0</v>
      </c>
      <c r="I77" s="10" t="s">
        <v>108</v>
      </c>
      <c r="J77" s="9" t="s">
        <v>213</v>
      </c>
      <c r="K77" s="9" t="s">
        <v>214</v>
      </c>
      <c r="L77" s="9" t="s">
        <v>11</v>
      </c>
      <c r="M77" s="9" t="s">
        <v>12</v>
      </c>
    </row>
    <row r="78" spans="1:13" ht="43.5">
      <c r="A78" s="10">
        <v>36531614</v>
      </c>
      <c r="B78" s="9" t="s">
        <v>194</v>
      </c>
      <c r="C78" s="11" t="s">
        <v>243</v>
      </c>
      <c r="D78" s="9" t="s">
        <v>244</v>
      </c>
      <c r="E78" s="9" t="s">
        <v>199</v>
      </c>
      <c r="F78" s="9" t="s">
        <v>108</v>
      </c>
      <c r="G78" s="10">
        <v>19</v>
      </c>
      <c r="H78" s="9">
        <v>0</v>
      </c>
      <c r="I78" s="10" t="s">
        <v>108</v>
      </c>
      <c r="J78" s="9" t="s">
        <v>200</v>
      </c>
      <c r="K78" s="9" t="s">
        <v>201</v>
      </c>
      <c r="L78" s="9" t="s">
        <v>202</v>
      </c>
      <c r="M78" s="9" t="s">
        <v>203</v>
      </c>
    </row>
    <row r="79" spans="1:13" ht="43.5">
      <c r="A79" s="10">
        <v>36920913</v>
      </c>
      <c r="B79" s="9" t="s">
        <v>223</v>
      </c>
      <c r="C79" s="11" t="s">
        <v>245</v>
      </c>
      <c r="D79" s="9" t="s">
        <v>246</v>
      </c>
      <c r="E79" s="9" t="s">
        <v>247</v>
      </c>
      <c r="F79" s="9" t="s">
        <v>108</v>
      </c>
      <c r="G79" s="10">
        <v>19</v>
      </c>
      <c r="H79" s="9" t="s">
        <v>108</v>
      </c>
      <c r="I79" s="10">
        <v>1</v>
      </c>
      <c r="J79" s="9" t="s">
        <v>64</v>
      </c>
      <c r="K79" s="9" t="s">
        <v>65</v>
      </c>
      <c r="L79" s="9" t="s">
        <v>66</v>
      </c>
      <c r="M79" s="9" t="s">
        <v>67</v>
      </c>
    </row>
    <row r="80" spans="1:13" ht="43.5">
      <c r="A80" s="10">
        <v>36920913</v>
      </c>
      <c r="B80" s="9" t="s">
        <v>223</v>
      </c>
      <c r="C80" s="11" t="s">
        <v>245</v>
      </c>
      <c r="D80" s="9" t="s">
        <v>246</v>
      </c>
      <c r="E80" s="9" t="s">
        <v>247</v>
      </c>
      <c r="F80" s="9" t="s">
        <v>108</v>
      </c>
      <c r="G80" s="10">
        <v>19</v>
      </c>
      <c r="H80" s="9" t="s">
        <v>108</v>
      </c>
      <c r="I80" s="10">
        <v>1</v>
      </c>
      <c r="J80" s="9" t="s">
        <v>64</v>
      </c>
      <c r="K80" s="9" t="s">
        <v>65</v>
      </c>
      <c r="L80" s="9" t="s">
        <v>68</v>
      </c>
      <c r="M80" s="9" t="s">
        <v>69</v>
      </c>
    </row>
    <row r="81" spans="1:13" ht="43.5">
      <c r="A81" s="10">
        <v>36927526</v>
      </c>
      <c r="B81" s="9" t="s">
        <v>223</v>
      </c>
      <c r="C81" s="11" t="s">
        <v>248</v>
      </c>
      <c r="D81" s="9" t="s">
        <v>249</v>
      </c>
      <c r="E81" s="9" t="s">
        <v>250</v>
      </c>
      <c r="F81" s="9" t="s">
        <v>108</v>
      </c>
      <c r="G81" s="10">
        <v>19</v>
      </c>
      <c r="H81" s="9" t="s">
        <v>108</v>
      </c>
      <c r="I81" s="10">
        <v>1</v>
      </c>
      <c r="J81" s="9" t="s">
        <v>213</v>
      </c>
      <c r="K81" s="9" t="s">
        <v>214</v>
      </c>
      <c r="L81" s="9" t="s">
        <v>11</v>
      </c>
      <c r="M81" s="9" t="s">
        <v>12</v>
      </c>
    </row>
    <row r="82" spans="1:13" ht="43.5">
      <c r="A82" s="10">
        <v>36933217</v>
      </c>
      <c r="B82" s="9" t="s">
        <v>223</v>
      </c>
      <c r="C82" s="11" t="s">
        <v>251</v>
      </c>
      <c r="D82" s="9" t="s">
        <v>252</v>
      </c>
      <c r="E82" s="9" t="s">
        <v>104</v>
      </c>
      <c r="F82" s="9" t="s">
        <v>108</v>
      </c>
      <c r="G82" s="10">
        <v>19</v>
      </c>
      <c r="H82" s="9" t="s">
        <v>108</v>
      </c>
      <c r="I82" s="10">
        <v>4</v>
      </c>
      <c r="J82" s="9" t="s">
        <v>64</v>
      </c>
      <c r="K82" s="9" t="s">
        <v>65</v>
      </c>
      <c r="L82" s="9" t="s">
        <v>66</v>
      </c>
      <c r="M82" s="9" t="s">
        <v>67</v>
      </c>
    </row>
    <row r="83" spans="1:13" ht="43.5">
      <c r="A83" s="10">
        <v>36933217</v>
      </c>
      <c r="B83" s="9" t="s">
        <v>223</v>
      </c>
      <c r="C83" s="11" t="s">
        <v>251</v>
      </c>
      <c r="D83" s="9" t="s">
        <v>252</v>
      </c>
      <c r="E83" s="9" t="s">
        <v>104</v>
      </c>
      <c r="F83" s="9" t="s">
        <v>108</v>
      </c>
      <c r="G83" s="10">
        <v>19</v>
      </c>
      <c r="H83" s="9" t="s">
        <v>108</v>
      </c>
      <c r="I83" s="10">
        <v>4</v>
      </c>
      <c r="J83" s="9" t="s">
        <v>64</v>
      </c>
      <c r="K83" s="9" t="s">
        <v>65</v>
      </c>
      <c r="L83" s="9" t="s">
        <v>68</v>
      </c>
      <c r="M83" s="9" t="s">
        <v>69</v>
      </c>
    </row>
    <row r="84" spans="1:13" ht="57.95">
      <c r="A84" s="10">
        <v>37045988</v>
      </c>
      <c r="B84" s="9" t="s">
        <v>223</v>
      </c>
      <c r="C84" s="11" t="s">
        <v>253</v>
      </c>
      <c r="D84" s="9" t="s">
        <v>254</v>
      </c>
      <c r="E84" s="9" t="s">
        <v>168</v>
      </c>
      <c r="F84" s="9" t="s">
        <v>108</v>
      </c>
      <c r="G84" s="10">
        <v>19</v>
      </c>
      <c r="H84" s="9" t="s">
        <v>108</v>
      </c>
      <c r="I84" s="10" t="s">
        <v>108</v>
      </c>
      <c r="J84" s="9" t="s">
        <v>255</v>
      </c>
      <c r="K84" s="9" t="s">
        <v>256</v>
      </c>
      <c r="L84" s="9" t="s">
        <v>21</v>
      </c>
      <c r="M84" s="9" t="s">
        <v>24</v>
      </c>
    </row>
    <row r="85" spans="1:13" ht="43.5">
      <c r="A85" s="10">
        <v>37094741</v>
      </c>
      <c r="B85" s="9" t="s">
        <v>223</v>
      </c>
      <c r="C85" s="11" t="s">
        <v>257</v>
      </c>
      <c r="D85" s="9" t="s">
        <v>258</v>
      </c>
      <c r="E85" s="9" t="s">
        <v>259</v>
      </c>
      <c r="F85" s="9" t="s">
        <v>108</v>
      </c>
      <c r="G85" s="10">
        <v>19</v>
      </c>
      <c r="H85" s="9" t="s">
        <v>108</v>
      </c>
      <c r="I85" s="10" t="s">
        <v>108</v>
      </c>
      <c r="J85" s="9" t="s">
        <v>136</v>
      </c>
      <c r="K85" s="9" t="s">
        <v>137</v>
      </c>
      <c r="L85" s="9" t="s">
        <v>138</v>
      </c>
      <c r="M85" s="9" t="s">
        <v>20</v>
      </c>
    </row>
    <row r="86" spans="1:13" ht="43.5">
      <c r="A86" s="10">
        <v>37094741</v>
      </c>
      <c r="B86" s="9" t="s">
        <v>223</v>
      </c>
      <c r="C86" s="11" t="s">
        <v>257</v>
      </c>
      <c r="D86" s="9" t="s">
        <v>258</v>
      </c>
      <c r="E86" s="9" t="s">
        <v>259</v>
      </c>
      <c r="F86" s="9" t="s">
        <v>108</v>
      </c>
      <c r="G86" s="10">
        <v>19</v>
      </c>
      <c r="H86" s="9" t="s">
        <v>108</v>
      </c>
      <c r="I86" s="10" t="s">
        <v>108</v>
      </c>
      <c r="J86" s="9" t="s">
        <v>136</v>
      </c>
      <c r="K86" s="9" t="s">
        <v>137</v>
      </c>
      <c r="L86" s="9" t="s">
        <v>17</v>
      </c>
      <c r="M86" s="9" t="s">
        <v>20</v>
      </c>
    </row>
    <row r="87" spans="1:13" ht="43.5">
      <c r="A87" s="10">
        <v>37414552</v>
      </c>
      <c r="B87" s="9" t="s">
        <v>223</v>
      </c>
      <c r="C87" s="11" t="s">
        <v>260</v>
      </c>
      <c r="D87" s="9" t="s">
        <v>261</v>
      </c>
      <c r="E87" s="9" t="s">
        <v>262</v>
      </c>
      <c r="F87" s="9" t="s">
        <v>108</v>
      </c>
      <c r="G87" s="10">
        <v>19</v>
      </c>
      <c r="H87" s="9" t="s">
        <v>108</v>
      </c>
      <c r="I87" s="10" t="s">
        <v>108</v>
      </c>
      <c r="J87" s="9" t="s">
        <v>136</v>
      </c>
      <c r="K87" s="9" t="s">
        <v>137</v>
      </c>
      <c r="L87" s="9" t="s">
        <v>138</v>
      </c>
      <c r="M87" s="9" t="s">
        <v>20</v>
      </c>
    </row>
    <row r="88" spans="1:13" ht="43.5">
      <c r="A88" s="10">
        <v>37414552</v>
      </c>
      <c r="B88" s="9" t="s">
        <v>223</v>
      </c>
      <c r="C88" s="11" t="s">
        <v>260</v>
      </c>
      <c r="D88" s="9" t="s">
        <v>261</v>
      </c>
      <c r="E88" s="9" t="s">
        <v>262</v>
      </c>
      <c r="F88" s="9" t="s">
        <v>108</v>
      </c>
      <c r="G88" s="10">
        <v>19</v>
      </c>
      <c r="H88" s="9" t="s">
        <v>108</v>
      </c>
      <c r="I88" s="10" t="s">
        <v>108</v>
      </c>
      <c r="J88" s="9" t="s">
        <v>136</v>
      </c>
      <c r="K88" s="9" t="s">
        <v>137</v>
      </c>
      <c r="L88" s="9" t="s">
        <v>17</v>
      </c>
      <c r="M88" s="9" t="s">
        <v>20</v>
      </c>
    </row>
  </sheetData>
  <conditionalFormatting sqref="C1:C1048576">
    <cfRule type="duplicateValues" dxfId="15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46ade7e5-a61b-41ef-8b65-1672892065de">News Articles</DocumentType>
    <Topic xmlns="46ade7e5-a61b-41ef-8b65-1672892065de">Cannabis</Topic>
    <TaxCatchAll xmlns="6fd99b86-a2da-47ef-ab26-55e7009dfe6e" xsi:nil="true"/>
    <lcf76f155ced4ddcb4097134ff3c332f xmlns="46ade7e5-a61b-41ef-8b65-1672892065de">
      <Terms xmlns="http://schemas.microsoft.com/office/infopath/2007/PartnerControls"/>
    </lcf76f155ced4ddcb4097134ff3c332f>
    <PageReference xmlns="46ade7e5-a61b-41ef-8b65-1672892065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0CDE65625E449B41BBE9E2A9D6E5A" ma:contentTypeVersion="14" ma:contentTypeDescription="Create a new document." ma:contentTypeScope="" ma:versionID="8b6d79dcc5f754c7cfb59536e3674b4c">
  <xsd:schema xmlns:xsd="http://www.w3.org/2001/XMLSchema" xmlns:xs="http://www.w3.org/2001/XMLSchema" xmlns:p="http://schemas.microsoft.com/office/2006/metadata/properties" xmlns:ns2="46ade7e5-a61b-41ef-8b65-1672892065de" xmlns:ns3="6fd99b86-a2da-47ef-ab26-55e7009dfe6e" targetNamespace="http://schemas.microsoft.com/office/2006/metadata/properties" ma:root="true" ma:fieldsID="64eb71bd406154cbfd68acd3ef293514" ns2:_="" ns3:_="">
    <xsd:import namespace="46ade7e5-a61b-41ef-8b65-1672892065de"/>
    <xsd:import namespace="6fd99b86-a2da-47ef-ab26-55e7009dfe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opic"/>
                <xsd:element ref="ns2:DocumentType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ageRefer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de7e5-a61b-41ef-8b65-1672892065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opic" ma:index="12" ma:displayName="Topic" ma:format="Dropdown" ma:internalName="Topic">
      <xsd:simpleType>
        <xsd:restriction base="dms:Choice">
          <xsd:enumeration value="Animal Research"/>
          <xsd:enumeration value="Artificial Intelligence (AI)"/>
          <xsd:enumeration value="Budget"/>
          <xsd:enumeration value="Cannabis"/>
          <xsd:enumeration value="Centers"/>
          <xsd:enumeration value="Clinical Trials"/>
          <xsd:enumeration value="Community Care"/>
          <xsd:enumeration value="Congress"/>
          <xsd:enumeration value="COVID"/>
          <xsd:enumeration value="Enterprise Transformation"/>
          <xsd:enumeration value="General ORD"/>
          <xsd:enumeration value="Mental Health"/>
          <xsd:enumeration value="Mortality Data"/>
          <xsd:enumeration value="MVP"/>
          <xsd:enumeration value="NRAC"/>
          <xsd:enumeration value="Precision Oncology"/>
          <xsd:enumeration value="Psychedelics"/>
          <xsd:enumeration value="Rural Health"/>
          <xsd:enumeration value="Spinal Cord Injury (SCI)"/>
          <xsd:enumeration value="Suicide Prevention"/>
          <xsd:enumeration value="Traumatic Brain Injury (TBI)"/>
          <xsd:enumeration value="Technology Transfer Program"/>
          <xsd:enumeration value="Toxic Exposure - MERP"/>
          <xsd:enumeration value="VA Secretary"/>
          <xsd:enumeration value="VHA USH"/>
          <xsd:enumeration value="Women’s Health – Maternity and Infertility"/>
        </xsd:restriction>
      </xsd:simpleType>
    </xsd:element>
    <xsd:element name="DocumentType" ma:index="13" ma:displayName="Document Type" ma:format="Dropdown" ma:internalName="DocumentType">
      <xsd:simpleType>
        <xsd:restriction base="dms:Choice">
          <xsd:enumeration value="Briefing Papers - Congress"/>
          <xsd:enumeration value="Briefing Papers - VA-VHA"/>
          <xsd:enumeration value="Briefing Papers - Other"/>
          <xsd:enumeration value="Budget Justification"/>
          <xsd:enumeration value="GAO"/>
          <xsd:enumeration value="Mandated Congressional Reports"/>
          <xsd:enumeration value="News Articles"/>
          <xsd:enumeration value="Press Releases"/>
          <xsd:enumeration value="Publications-Studies"/>
          <xsd:enumeration value="RFA"/>
          <xsd:enumeration value="RFI - Congress"/>
          <xsd:enumeration value="Slide Presentations"/>
          <xsd:enumeration value="Talking Points - Congress"/>
          <xsd:enumeration value="Testimony - Congress Speeches"/>
          <xsd:enumeration value="Talking Points - VA-VHA"/>
          <xsd:enumeration value="Talking Points - Other"/>
          <xsd:enumeration value="Other-Misc Documents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PageReference" ma:index="21" nillable="true" ma:displayName="Page Reference" ma:description="provide a page reference for longer documents" ma:format="Dropdown" ma:internalName="PageReferenc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d99b86-a2da-47ef-ab26-55e7009dfe6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736d572-348b-4845-bc48-0c7ae7dc85c2}" ma:internalName="TaxCatchAll" ma:showField="CatchAllData" ma:web="6fd99b86-a2da-47ef-ab26-55e7009dfe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171649-41FC-4085-849E-E72CBF470E5A}"/>
</file>

<file path=customXml/itemProps2.xml><?xml version="1.0" encoding="utf-8"?>
<ds:datastoreItem xmlns:ds="http://schemas.openxmlformats.org/officeDocument/2006/customXml" ds:itemID="{1D610FFE-B40F-48A2-A920-9EF3BE1BEDA9}"/>
</file>

<file path=customXml/itemProps3.xml><?xml version="1.0" encoding="utf-8"?>
<ds:datastoreItem xmlns:ds="http://schemas.openxmlformats.org/officeDocument/2006/customXml" ds:itemID="{348E20BB-4558-4258-A86D-A7E7D1F033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 Excel list of cannabis studies (start time: 10-1-20 to 10-1-22)</dc:title>
  <dc:subject/>
  <dc:creator>Schumacher, Ryan M.</dc:creator>
  <cp:keywords/>
  <dc:description/>
  <cp:lastModifiedBy>Richman, Michael (VACO)</cp:lastModifiedBy>
  <cp:revision/>
  <dcterms:created xsi:type="dcterms:W3CDTF">2024-03-22T17:49:55Z</dcterms:created>
  <dcterms:modified xsi:type="dcterms:W3CDTF">2024-03-28T16:28:21Z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0x010100F670CDE65625E449B41BBE9E2A9D6E5A</vt:lpwstr>
  </property>
  <property fmtid="{D5CDD505-2E9C-101B-9397-08002B2CF9AE}" pid="3" name="MediaServiceImageTags">
    <vt:lpwstr/>
  </property>
</Properties>
</file>